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ottawa-my.sharepoint.com/personal/asarr014_uottawa_ca/Documents/"/>
    </mc:Choice>
  </mc:AlternateContent>
  <xr:revisionPtr revIDLastSave="0" documentId="8_{B2457F85-980F-E540-9281-683E69E30095}" xr6:coauthVersionLast="47" xr6:coauthVersionMax="47" xr10:uidLastSave="{00000000-0000-0000-0000-000000000000}"/>
  <bookViews>
    <workbookView xWindow="0" yWindow="500" windowWidth="28800" windowHeight="16300" tabRatio="500" activeTab="1" xr2:uid="{00000000-000D-0000-FFFF-FFFF00000000}"/>
  </bookViews>
  <sheets>
    <sheet name="test" sheetId="21" r:id="rId1"/>
    <sheet name="Loyer" sheetId="20" r:id="rId2"/>
    <sheet name="graphique loyers" sheetId="23" r:id="rId3"/>
    <sheet name="IPC" sheetId="22" r:id="rId4"/>
    <sheet name="Graphe IPC" sheetId="24" r:id="rId5"/>
    <sheet name="Activite" sheetId="25" r:id="rId6"/>
    <sheet name="scolarité 2" sheetId="27" r:id="rId7"/>
    <sheet name="Graphe activite 1" sheetId="28" r:id="rId8"/>
    <sheet name="Grpahe activite 2" sheetId="29" r:id="rId9"/>
    <sheet name="graphe scolarite" sheetId="3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8" i="25" l="1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M42" i="25"/>
  <c r="M43" i="25"/>
  <c r="O7" i="25"/>
  <c r="N7" i="25"/>
  <c r="M7" i="25"/>
  <c r="L8" i="25"/>
  <c r="L9" i="25"/>
  <c r="L10" i="25"/>
  <c r="L11" i="25"/>
  <c r="L12" i="25"/>
  <c r="L13" i="25"/>
  <c r="L14" i="25"/>
  <c r="L15" i="25"/>
  <c r="L16" i="25"/>
  <c r="L17" i="25"/>
  <c r="L18" i="25"/>
  <c r="L19" i="25"/>
  <c r="L20" i="25"/>
  <c r="L21" i="25"/>
  <c r="L22" i="25"/>
  <c r="L23" i="25"/>
  <c r="L24" i="25"/>
  <c r="L25" i="25"/>
  <c r="L26" i="25"/>
  <c r="L27" i="25"/>
  <c r="L28" i="25"/>
  <c r="L29" i="25"/>
  <c r="L30" i="25"/>
  <c r="L31" i="25"/>
  <c r="L32" i="25"/>
  <c r="L33" i="25"/>
  <c r="L34" i="25"/>
  <c r="L35" i="25"/>
  <c r="L36" i="25"/>
  <c r="L37" i="25"/>
  <c r="L38" i="25"/>
  <c r="L39" i="25"/>
  <c r="L40" i="25"/>
  <c r="L41" i="25"/>
  <c r="L42" i="25"/>
  <c r="L43" i="25"/>
  <c r="L7" i="25"/>
  <c r="E39" i="22"/>
  <c r="P39" i="22"/>
  <c r="F39" i="22"/>
  <c r="G39" i="22"/>
  <c r="H39" i="22"/>
  <c r="I39" i="22"/>
  <c r="J39" i="22"/>
  <c r="K39" i="22"/>
  <c r="L39" i="22"/>
  <c r="M39" i="22"/>
  <c r="N39" i="22"/>
  <c r="O39" i="22"/>
  <c r="P29" i="22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J11" i="20"/>
  <c r="I11" i="20"/>
  <c r="H11" i="20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8" i="22"/>
  <c r="AC7" i="22"/>
  <c r="F20" i="21"/>
  <c r="F18" i="21"/>
  <c r="D19" i="21"/>
  <c r="D18" i="21"/>
  <c r="D20" i="21"/>
  <c r="C19" i="21"/>
  <c r="C18" i="21"/>
  <c r="C20" i="21"/>
  <c r="AC29" i="22" l="1"/>
</calcChain>
</file>

<file path=xl/sharedStrings.xml><?xml version="1.0" encoding="utf-8"?>
<sst xmlns="http://schemas.openxmlformats.org/spreadsheetml/2006/main" count="153" uniqueCount="97">
  <si>
    <t>C</t>
  </si>
  <si>
    <t>A</t>
  </si>
  <si>
    <t>B</t>
  </si>
  <si>
    <t>D</t>
  </si>
  <si>
    <t>E</t>
  </si>
  <si>
    <t>Année</t>
  </si>
  <si>
    <t>MTL</t>
  </si>
  <si>
    <t>TO</t>
  </si>
  <si>
    <t>VC</t>
  </si>
  <si>
    <t>Indices</t>
  </si>
  <si>
    <t>PRODUIT</t>
  </si>
  <si>
    <t>PRIX EN $ PAR UNITÉ</t>
  </si>
  <si>
    <t>NOMBRE D'UNITÉS</t>
  </si>
  <si>
    <t>ANNÉE DE BASE</t>
  </si>
  <si>
    <t>ANNÉE COURANTE</t>
  </si>
  <si>
    <t>LASPEYRES</t>
  </si>
  <si>
    <t>PAASCHE</t>
  </si>
  <si>
    <t>FISHER</t>
  </si>
  <si>
    <t>IPC officiel (2002 = 100)</t>
  </si>
  <si>
    <t>IPC étudiants / étudiantes (2002 = 100)</t>
  </si>
  <si>
    <t>Aliments en magasin</t>
  </si>
  <si>
    <t>Resto</t>
  </si>
  <si>
    <t>Logement</t>
  </si>
  <si>
    <t>Opération + équipement maison</t>
  </si>
  <si>
    <t>Vêtements + chaussures</t>
  </si>
  <si>
    <t>Transport</t>
  </si>
  <si>
    <t>Santé + soins personnels</t>
  </si>
  <si>
    <t>Loisir + formation + lecture</t>
  </si>
  <si>
    <t xml:space="preserve">Droits scolarité </t>
  </si>
  <si>
    <t>Manuels scolaires</t>
  </si>
  <si>
    <t>Alcool + Tabac + cannabis</t>
  </si>
  <si>
    <t>IPC Ensemble 2002 = 100</t>
  </si>
  <si>
    <t>Loisir + éducation + lecture</t>
  </si>
  <si>
    <t>Alcool + Tabac + alcool</t>
  </si>
  <si>
    <t>Coefficients de pondération</t>
  </si>
  <si>
    <t>Taux de croissance =</t>
  </si>
  <si>
    <t>Contributions en valeurs absolues</t>
  </si>
  <si>
    <t xml:space="preserve">Contributions en pourcentage </t>
  </si>
  <si>
    <t>Contributions en pourcentage (ajustées)</t>
  </si>
  <si>
    <t xml:space="preserve">cellule vide </t>
  </si>
  <si>
    <t>Variations annuelles en %</t>
  </si>
  <si>
    <t>Taux de croissance de 2002 à 2023</t>
  </si>
  <si>
    <t>Taux d'activité</t>
  </si>
  <si>
    <t>Indices du taux d'activité</t>
  </si>
  <si>
    <t>Québec</t>
  </si>
  <si>
    <t>Ontario</t>
  </si>
  <si>
    <t>Alberta</t>
  </si>
  <si>
    <t>CB</t>
  </si>
  <si>
    <t>1987 </t>
  </si>
  <si>
    <t>1988 </t>
  </si>
  <si>
    <t>1989 </t>
  </si>
  <si>
    <t>1990 </t>
  </si>
  <si>
    <t>1991 </t>
  </si>
  <si>
    <t>1992 </t>
  </si>
  <si>
    <t>1993 </t>
  </si>
  <si>
    <t>1994 </t>
  </si>
  <si>
    <t>1995 </t>
  </si>
  <si>
    <t>1996 </t>
  </si>
  <si>
    <t>1997 </t>
  </si>
  <si>
    <t>1998 </t>
  </si>
  <si>
    <t>1999 </t>
  </si>
  <si>
    <t>2000 </t>
  </si>
  <si>
    <t>2001 </t>
  </si>
  <si>
    <t>2002 </t>
  </si>
  <si>
    <t>2003 </t>
  </si>
  <si>
    <t>2004 </t>
  </si>
  <si>
    <t>2005 </t>
  </si>
  <si>
    <t>2006 </t>
  </si>
  <si>
    <t>2007 </t>
  </si>
  <si>
    <t>2008 </t>
  </si>
  <si>
    <t>2009 </t>
  </si>
  <si>
    <t>2010 </t>
  </si>
  <si>
    <t>2011 </t>
  </si>
  <si>
    <t>2012 </t>
  </si>
  <si>
    <t>2013 </t>
  </si>
  <si>
    <t>2014 </t>
  </si>
  <si>
    <t>2015 </t>
  </si>
  <si>
    <t>2016 </t>
  </si>
  <si>
    <t>2017 </t>
  </si>
  <si>
    <t>2018 </t>
  </si>
  <si>
    <t>2019 </t>
  </si>
  <si>
    <t>2020 </t>
  </si>
  <si>
    <t>2021 </t>
  </si>
  <si>
    <t>2022 </t>
  </si>
  <si>
    <t>Études secondaires complétées</t>
  </si>
  <si>
    <t>Études secondaires complétées, études postsecondaires partielles</t>
  </si>
  <si>
    <t>Certificat ou diplôme d'études postsecondaires</t>
  </si>
  <si>
    <t>Baccalauréat</t>
  </si>
  <si>
    <t>Diplôme ou certificat universitaire supérieur au baccalauréat</t>
  </si>
  <si>
    <t>Total, tous les niveaux de scolarité</t>
  </si>
  <si>
    <t>Sans grade, certificat ou diplôme</t>
  </si>
  <si>
    <t>Indice de Prix</t>
  </si>
  <si>
    <t>Indice de Quantite</t>
  </si>
  <si>
    <t>Depense totale année courante=</t>
  </si>
  <si>
    <t>Depense totale année de base</t>
  </si>
  <si>
    <t>IPC Ensemble etudiants 2002 = 100</t>
  </si>
  <si>
    <t>8,6%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</si>
</sst>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6" tint="0.79998168889431442"/>
      <name val="Calibri"/>
      <family val="2"/>
      <scheme val="minor"/>
    </font>
    <font>
      <sz val="20"/>
      <color rgb="FF000000"/>
      <name val="Avenir Light"/>
      <family val="2"/>
    </font>
    <font>
      <b/>
      <sz val="20"/>
      <color rgb="FF000000"/>
      <name val="Avenir Light"/>
      <family val="2"/>
    </font>
    <font>
      <sz val="16"/>
      <color rgb="FF000000"/>
      <name val="Avenir Light"/>
      <family val="2"/>
    </font>
    <font>
      <b/>
      <sz val="18"/>
      <color rgb="FF000000"/>
      <name val="Avenir Light"/>
      <family val="2"/>
    </font>
    <font>
      <sz val="20"/>
      <color rgb="FFFF0000"/>
      <name val="Avenir Light"/>
      <family val="2"/>
    </font>
    <font>
      <sz val="18"/>
      <color rgb="FF000000"/>
      <name val="Avenir Light"/>
      <family val="2"/>
    </font>
    <font>
      <sz val="22"/>
      <color rgb="FF000000"/>
      <name val="Avenir Light"/>
      <family val="2"/>
    </font>
    <font>
      <sz val="7"/>
      <color rgb="FF000000"/>
      <name val="Avenir Light"/>
      <family val="2"/>
    </font>
    <font>
      <b/>
      <sz val="18"/>
      <color theme="1"/>
      <name val="Calibri"/>
      <family val="2"/>
      <scheme val="minor"/>
    </font>
    <font>
      <sz val="20"/>
      <color theme="1"/>
      <name val="Avenir Light"/>
      <family val="2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0" fontId="0" fillId="0" borderId="0" xfId="35" applyNumberFormat="1" applyFont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37" applyAlignment="1">
      <alignment vertical="center"/>
    </xf>
    <xf numFmtId="0" fontId="6" fillId="0" borderId="0" xfId="0" applyFont="1"/>
    <xf numFmtId="0" fontId="6" fillId="4" borderId="1" xfId="0" applyFont="1" applyFill="1" applyBorder="1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4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4" borderId="0" xfId="0" applyFont="1" applyFill="1" applyAlignment="1">
      <alignment horizontal="center" vertical="top"/>
    </xf>
    <xf numFmtId="0" fontId="8" fillId="5" borderId="0" xfId="0" applyFont="1" applyFill="1"/>
    <xf numFmtId="0" fontId="6" fillId="5" borderId="0" xfId="0" applyFont="1" applyFill="1"/>
    <xf numFmtId="165" fontId="6" fillId="5" borderId="0" xfId="0" applyNumberFormat="1" applyFont="1" applyFill="1"/>
    <xf numFmtId="2" fontId="6" fillId="5" borderId="0" xfId="0" applyNumberFormat="1" applyFont="1" applyFill="1"/>
    <xf numFmtId="164" fontId="6" fillId="0" borderId="0" xfId="0" applyNumberFormat="1" applyFont="1"/>
    <xf numFmtId="1" fontId="9" fillId="0" borderId="0" xfId="0" applyNumberFormat="1" applyFont="1" applyAlignment="1">
      <alignment horizontal="center" wrapText="1"/>
    </xf>
    <xf numFmtId="2" fontId="6" fillId="0" borderId="0" xfId="0" applyNumberFormat="1" applyFont="1"/>
    <xf numFmtId="165" fontId="10" fillId="6" borderId="0" xfId="0" applyNumberFormat="1" applyFont="1" applyFill="1"/>
    <xf numFmtId="1" fontId="6" fillId="7" borderId="0" xfId="0" applyNumberFormat="1" applyFont="1" applyFill="1" applyAlignment="1">
      <alignment horizontal="center"/>
    </xf>
    <xf numFmtId="10" fontId="11" fillId="0" borderId="0" xfId="0" applyNumberFormat="1" applyFont="1" applyAlignment="1">
      <alignment horizontal="center" wrapText="1"/>
    </xf>
    <xf numFmtId="9" fontId="10" fillId="6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164" fontId="10" fillId="6" borderId="0" xfId="0" applyNumberFormat="1" applyFont="1" applyFill="1" applyAlignment="1">
      <alignment horizontal="center"/>
    </xf>
    <xf numFmtId="2" fontId="10" fillId="6" borderId="0" xfId="0" applyNumberFormat="1" applyFont="1" applyFill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9" fontId="6" fillId="8" borderId="0" xfId="0" applyNumberFormat="1" applyFont="1" applyFill="1" applyAlignment="1">
      <alignment horizontal="center"/>
    </xf>
    <xf numFmtId="10" fontId="6" fillId="4" borderId="0" xfId="0" applyNumberFormat="1" applyFont="1" applyFill="1" applyAlignment="1">
      <alignment horizontal="center"/>
    </xf>
    <xf numFmtId="17" fontId="6" fillId="0" borderId="0" xfId="0" applyNumberFormat="1" applyFont="1"/>
    <xf numFmtId="10" fontId="6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10" fontId="6" fillId="0" borderId="0" xfId="0" applyNumberFormat="1" applyFont="1"/>
    <xf numFmtId="0" fontId="13" fillId="0" borderId="0" xfId="0" applyFont="1" applyAlignment="1">
      <alignment horizontal="left" vertical="center" indent="6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65" fontId="6" fillId="0" borderId="6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166" fontId="6" fillId="0" borderId="6" xfId="0" applyNumberFormat="1" applyFont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165" fontId="6" fillId="4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10" fontId="0" fillId="2" borderId="0" xfId="35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vertical="center"/>
    </xf>
    <xf numFmtId="164" fontId="16" fillId="0" borderId="0" xfId="0" applyNumberFormat="1" applyFont="1" applyAlignment="1">
      <alignment vertical="center"/>
    </xf>
    <xf numFmtId="164" fontId="16" fillId="0" borderId="0" xfId="0" applyNumberFormat="1" applyFont="1"/>
    <xf numFmtId="0" fontId="6" fillId="0" borderId="0" xfId="0" applyFont="1" applyAlignment="1">
      <alignment horizontal="left" vertical="center"/>
    </xf>
    <xf numFmtId="10" fontId="0" fillId="2" borderId="6" xfId="0" applyNumberFormat="1" applyFill="1" applyBorder="1" applyAlignment="1">
      <alignment vertical="center"/>
    </xf>
    <xf numFmtId="49" fontId="6" fillId="0" borderId="0" xfId="0" applyNumberFormat="1" applyFont="1" applyAlignment="1">
      <alignment horizontal="center"/>
    </xf>
    <xf numFmtId="10" fontId="0" fillId="0" borderId="0" xfId="0" applyNumberFormat="1" applyAlignment="1">
      <alignment vertic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center"/>
    </xf>
  </cellXfs>
  <cellStyles count="3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7" builtinId="8"/>
    <cellStyle name="Normal" xfId="0" builtinId="0"/>
    <cellStyle name="Normal 2" xfId="36" xr:uid="{4B4E43BD-11EE-2844-81F2-BEB6596FAFEB}"/>
    <cellStyle name="Percent" xfId="35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 De La </a:t>
            </a:r>
            <a:r>
              <a:rPr lang="en-CA" sz="1400">
                <a:effectLst/>
                <a:latin typeface="Palatino" pitchFamily="2" charset="77"/>
              </a:rPr>
              <a:t>Variation Annuelle En % du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CA" sz="1400">
                <a:effectLst/>
                <a:latin typeface="Palatino" pitchFamily="2" charset="77"/>
              </a:rPr>
              <a:t>Logement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Loyer!$H$6:$H$10</c:f>
              <c:strCache>
                <c:ptCount val="5"/>
                <c:pt idx="0">
                  <c:v>Variations annuelles en %</c:v>
                </c:pt>
                <c:pt idx="2">
                  <c:v>MTL</c:v>
                </c:pt>
                <c:pt idx="4">
                  <c:v>cellule vide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Loyer!$B$11:$B$29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cat>
          <c:val>
            <c:numRef>
              <c:f>Loyer!$H$11:$H$29</c:f>
              <c:numCache>
                <c:formatCode>0.00%</c:formatCode>
                <c:ptCount val="19"/>
                <c:pt idx="0">
                  <c:v>2.9328287606433249E-2</c:v>
                </c:pt>
                <c:pt idx="1">
                  <c:v>2.5735294117647033E-2</c:v>
                </c:pt>
                <c:pt idx="2">
                  <c:v>3.0465949820788582E-2</c:v>
                </c:pt>
                <c:pt idx="3">
                  <c:v>3.4782608695652174E-2</c:v>
                </c:pt>
                <c:pt idx="4">
                  <c:v>4.2016806722689074E-3</c:v>
                </c:pt>
                <c:pt idx="5">
                  <c:v>6.6945606694560431E-3</c:v>
                </c:pt>
                <c:pt idx="6">
                  <c:v>1.6625103906899419E-2</c:v>
                </c:pt>
                <c:pt idx="7">
                  <c:v>1.3900245298446468E-2</c:v>
                </c:pt>
                <c:pt idx="8">
                  <c:v>9.6774193548387327E-3</c:v>
                </c:pt>
                <c:pt idx="9">
                  <c:v>1.3578274760383409E-2</c:v>
                </c:pt>
                <c:pt idx="10">
                  <c:v>4.7281323877068106E-3</c:v>
                </c:pt>
                <c:pt idx="11">
                  <c:v>9.4117647058822636E-3</c:v>
                </c:pt>
                <c:pt idx="12">
                  <c:v>9.3240093240094576E-3</c:v>
                </c:pt>
                <c:pt idx="13">
                  <c:v>1.693610469591985E-2</c:v>
                </c:pt>
                <c:pt idx="14">
                  <c:v>2.8009084027252211E-2</c:v>
                </c:pt>
                <c:pt idx="15">
                  <c:v>2.4300441826214894E-2</c:v>
                </c:pt>
                <c:pt idx="16">
                  <c:v>4.6728971962616828E-2</c:v>
                </c:pt>
                <c:pt idx="17">
                  <c:v>7.0054945054945181E-2</c:v>
                </c:pt>
                <c:pt idx="18">
                  <c:v>7.5096277278562176E-2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9-6149-A6EB-FEA068FF7855}"/>
            </c:ext>
          </c:extLst>
        </c:ser>
        <c:ser>
          <c:idx val="1"/>
          <c:order val="1"/>
          <c:tx>
            <c:strRef>
              <c:f>Loyer!$I$6:$I$10</c:f>
              <c:strCache>
                <c:ptCount val="5"/>
                <c:pt idx="0">
                  <c:v>Variations annuelles en %</c:v>
                </c:pt>
                <c:pt idx="2">
                  <c:v>TO</c:v>
                </c:pt>
                <c:pt idx="4">
                  <c:v>cellule vide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Loyer!$B$11:$B$29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cat>
          <c:val>
            <c:numRef>
              <c:f>Loyer!$I$11:$I$29</c:f>
              <c:numCache>
                <c:formatCode>0.00%</c:formatCode>
                <c:ptCount val="19"/>
                <c:pt idx="0">
                  <c:v>2.5495750708215189E-2</c:v>
                </c:pt>
                <c:pt idx="1">
                  <c:v>2.670349907918974E-2</c:v>
                </c:pt>
                <c:pt idx="2">
                  <c:v>1.7040358744394669E-2</c:v>
                </c:pt>
                <c:pt idx="3">
                  <c:v>3.5273368606701938E-2</c:v>
                </c:pt>
                <c:pt idx="4">
                  <c:v>8.5178875638836722E-4</c:v>
                </c:pt>
                <c:pt idx="5">
                  <c:v>2.382978723404253E-2</c:v>
                </c:pt>
                <c:pt idx="6">
                  <c:v>1.5793848711554495E-2</c:v>
                </c:pt>
                <c:pt idx="7">
                  <c:v>1.9639934533551485E-2</c:v>
                </c:pt>
                <c:pt idx="8">
                  <c:v>1.6853932584269732E-2</c:v>
                </c:pt>
                <c:pt idx="9">
                  <c:v>3.9463299131807308E-2</c:v>
                </c:pt>
                <c:pt idx="10">
                  <c:v>2.7334851936218853E-2</c:v>
                </c:pt>
                <c:pt idx="11">
                  <c:v>3.325942350332594E-2</c:v>
                </c:pt>
                <c:pt idx="12">
                  <c:v>2.4320457796852483E-2</c:v>
                </c:pt>
                <c:pt idx="13">
                  <c:v>1.745810055865922E-2</c:v>
                </c:pt>
                <c:pt idx="14">
                  <c:v>2.8826355525051594E-2</c:v>
                </c:pt>
                <c:pt idx="15">
                  <c:v>1.33422281521014E-2</c:v>
                </c:pt>
                <c:pt idx="16">
                  <c:v>2.8966425279789373E-2</c:v>
                </c:pt>
                <c:pt idx="17">
                  <c:v>6.5898912348048511E-2</c:v>
                </c:pt>
                <c:pt idx="18">
                  <c:v>6.1824729891956851E-2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9-6149-A6EB-FEA068FF7855}"/>
            </c:ext>
          </c:extLst>
        </c:ser>
        <c:ser>
          <c:idx val="2"/>
          <c:order val="2"/>
          <c:tx>
            <c:strRef>
              <c:f>Loyer!$J$6:$J$10</c:f>
              <c:strCache>
                <c:ptCount val="5"/>
                <c:pt idx="0">
                  <c:v>Variations annuelles en %</c:v>
                </c:pt>
                <c:pt idx="2">
                  <c:v>VC</c:v>
                </c:pt>
                <c:pt idx="4">
                  <c:v>cellule vide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Loyer!$B$11:$B$29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cat>
          <c:val>
            <c:numRef>
              <c:f>Loyer!$J$11:$J$29</c:f>
              <c:numCache>
                <c:formatCode>0.00%</c:formatCode>
                <c:ptCount val="19"/>
                <c:pt idx="0">
                  <c:v>1.6441005802707818E-2</c:v>
                </c:pt>
                <c:pt idx="1">
                  <c:v>2.9495718363463451E-2</c:v>
                </c:pt>
                <c:pt idx="2">
                  <c:v>3.3271719038816955E-2</c:v>
                </c:pt>
                <c:pt idx="3">
                  <c:v>3.3989266547406055E-2</c:v>
                </c:pt>
                <c:pt idx="4">
                  <c:v>-1.6435986159169476E-2</c:v>
                </c:pt>
                <c:pt idx="5">
                  <c:v>1.7590149516270887E-2</c:v>
                </c:pt>
                <c:pt idx="6">
                  <c:v>1.2100259291270453E-2</c:v>
                </c:pt>
                <c:pt idx="7">
                  <c:v>3.4158838599488103E-3</c:v>
                </c:pt>
                <c:pt idx="8">
                  <c:v>-5.1063829787233563E-3</c:v>
                </c:pt>
                <c:pt idx="9">
                  <c:v>6.8434559452523278E-3</c:v>
                </c:pt>
                <c:pt idx="10">
                  <c:v>2.5488530161427115E-3</c:v>
                </c:pt>
                <c:pt idx="11">
                  <c:v>1.7796610169491477E-2</c:v>
                </c:pt>
                <c:pt idx="12">
                  <c:v>2.9975020815986752E-2</c:v>
                </c:pt>
                <c:pt idx="13">
                  <c:v>3.9611964430072685E-2</c:v>
                </c:pt>
                <c:pt idx="14">
                  <c:v>2.3328149300155521E-2</c:v>
                </c:pt>
                <c:pt idx="15">
                  <c:v>1.0638297872340469E-2</c:v>
                </c:pt>
                <c:pt idx="16">
                  <c:v>4.3609022556391062E-2</c:v>
                </c:pt>
                <c:pt idx="17">
                  <c:v>7.34870317002881E-2</c:v>
                </c:pt>
                <c:pt idx="18">
                  <c:v>6.1744966442952944E-2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69-6149-A6EB-FEA068FF7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705359"/>
        <c:axId val="490707071"/>
      </c:lineChart>
      <c:catAx>
        <c:axId val="49070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07071"/>
        <c:crosses val="autoZero"/>
        <c:auto val="1"/>
        <c:lblAlgn val="ctr"/>
        <c:lblOffset val="100"/>
        <c:noMultiLvlLbl val="0"/>
      </c:catAx>
      <c:valAx>
        <c:axId val="49070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0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 De La </a:t>
            </a:r>
            <a:r>
              <a:rPr lang="en-CA" sz="1400">
                <a:effectLst/>
                <a:latin typeface="Palatino" pitchFamily="2" charset="77"/>
              </a:rPr>
              <a:t>Variation Annuelle En % du 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CA" sz="1400">
                <a:effectLst/>
                <a:latin typeface="Palatino" pitchFamily="2" charset="77"/>
              </a:rPr>
              <a:t>Logement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Loyer!$H$6:$H$10</c:f>
              <c:strCache>
                <c:ptCount val="5"/>
                <c:pt idx="0">
                  <c:v>Variations annuelles en %</c:v>
                </c:pt>
                <c:pt idx="2">
                  <c:v>MTL</c:v>
                </c:pt>
                <c:pt idx="4">
                  <c:v>cellule vide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Loyer!$B$11:$B$29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cat>
          <c:val>
            <c:numRef>
              <c:f>Loyer!$H$11:$H$29</c:f>
              <c:numCache>
                <c:formatCode>0.00%</c:formatCode>
                <c:ptCount val="19"/>
                <c:pt idx="0">
                  <c:v>2.9328287606433249E-2</c:v>
                </c:pt>
                <c:pt idx="1">
                  <c:v>2.5735294117647033E-2</c:v>
                </c:pt>
                <c:pt idx="2">
                  <c:v>3.0465949820788582E-2</c:v>
                </c:pt>
                <c:pt idx="3">
                  <c:v>3.4782608695652174E-2</c:v>
                </c:pt>
                <c:pt idx="4">
                  <c:v>4.2016806722689074E-3</c:v>
                </c:pt>
                <c:pt idx="5">
                  <c:v>6.6945606694560431E-3</c:v>
                </c:pt>
                <c:pt idx="6">
                  <c:v>1.6625103906899419E-2</c:v>
                </c:pt>
                <c:pt idx="7">
                  <c:v>1.3900245298446468E-2</c:v>
                </c:pt>
                <c:pt idx="8">
                  <c:v>9.6774193548387327E-3</c:v>
                </c:pt>
                <c:pt idx="9">
                  <c:v>1.3578274760383409E-2</c:v>
                </c:pt>
                <c:pt idx="10">
                  <c:v>4.7281323877068106E-3</c:v>
                </c:pt>
                <c:pt idx="11">
                  <c:v>9.4117647058822636E-3</c:v>
                </c:pt>
                <c:pt idx="12">
                  <c:v>9.3240093240094576E-3</c:v>
                </c:pt>
                <c:pt idx="13">
                  <c:v>1.693610469591985E-2</c:v>
                </c:pt>
                <c:pt idx="14">
                  <c:v>2.8009084027252211E-2</c:v>
                </c:pt>
                <c:pt idx="15">
                  <c:v>2.4300441826214894E-2</c:v>
                </c:pt>
                <c:pt idx="16">
                  <c:v>4.6728971962616828E-2</c:v>
                </c:pt>
                <c:pt idx="17">
                  <c:v>7.0054945054945181E-2</c:v>
                </c:pt>
                <c:pt idx="18">
                  <c:v>7.5096277278562176E-2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F-2446-8C1E-8D3E899F458F}"/>
            </c:ext>
          </c:extLst>
        </c:ser>
        <c:ser>
          <c:idx val="1"/>
          <c:order val="1"/>
          <c:tx>
            <c:strRef>
              <c:f>Loyer!$I$6:$I$10</c:f>
              <c:strCache>
                <c:ptCount val="5"/>
                <c:pt idx="0">
                  <c:v>Variations annuelles en %</c:v>
                </c:pt>
                <c:pt idx="2">
                  <c:v>TO</c:v>
                </c:pt>
                <c:pt idx="4">
                  <c:v>cellule vide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Loyer!$B$11:$B$29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cat>
          <c:val>
            <c:numRef>
              <c:f>Loyer!$I$11:$I$29</c:f>
              <c:numCache>
                <c:formatCode>0.00%</c:formatCode>
                <c:ptCount val="19"/>
                <c:pt idx="0">
                  <c:v>2.5495750708215189E-2</c:v>
                </c:pt>
                <c:pt idx="1">
                  <c:v>2.670349907918974E-2</c:v>
                </c:pt>
                <c:pt idx="2">
                  <c:v>1.7040358744394669E-2</c:v>
                </c:pt>
                <c:pt idx="3">
                  <c:v>3.5273368606701938E-2</c:v>
                </c:pt>
                <c:pt idx="4">
                  <c:v>8.5178875638836722E-4</c:v>
                </c:pt>
                <c:pt idx="5">
                  <c:v>2.382978723404253E-2</c:v>
                </c:pt>
                <c:pt idx="6">
                  <c:v>1.5793848711554495E-2</c:v>
                </c:pt>
                <c:pt idx="7">
                  <c:v>1.9639934533551485E-2</c:v>
                </c:pt>
                <c:pt idx="8">
                  <c:v>1.6853932584269732E-2</c:v>
                </c:pt>
                <c:pt idx="9">
                  <c:v>3.9463299131807308E-2</c:v>
                </c:pt>
                <c:pt idx="10">
                  <c:v>2.7334851936218853E-2</c:v>
                </c:pt>
                <c:pt idx="11">
                  <c:v>3.325942350332594E-2</c:v>
                </c:pt>
                <c:pt idx="12">
                  <c:v>2.4320457796852483E-2</c:v>
                </c:pt>
                <c:pt idx="13">
                  <c:v>1.745810055865922E-2</c:v>
                </c:pt>
                <c:pt idx="14">
                  <c:v>2.8826355525051594E-2</c:v>
                </c:pt>
                <c:pt idx="15">
                  <c:v>1.33422281521014E-2</c:v>
                </c:pt>
                <c:pt idx="16">
                  <c:v>2.8966425279789373E-2</c:v>
                </c:pt>
                <c:pt idx="17">
                  <c:v>6.5898912348048511E-2</c:v>
                </c:pt>
                <c:pt idx="18">
                  <c:v>6.1824729891956851E-2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DF-2446-8C1E-8D3E899F458F}"/>
            </c:ext>
          </c:extLst>
        </c:ser>
        <c:ser>
          <c:idx val="2"/>
          <c:order val="2"/>
          <c:tx>
            <c:strRef>
              <c:f>Loyer!$J$6:$J$10</c:f>
              <c:strCache>
                <c:ptCount val="5"/>
                <c:pt idx="0">
                  <c:v>Variations annuelles en %</c:v>
                </c:pt>
                <c:pt idx="2">
                  <c:v>VC</c:v>
                </c:pt>
                <c:pt idx="4">
                  <c:v>cellule vide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Loyer!$B$11:$B$29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cat>
          <c:val>
            <c:numRef>
              <c:f>Loyer!$J$11:$J$29</c:f>
              <c:numCache>
                <c:formatCode>0.00%</c:formatCode>
                <c:ptCount val="19"/>
                <c:pt idx="0">
                  <c:v>1.6441005802707818E-2</c:v>
                </c:pt>
                <c:pt idx="1">
                  <c:v>2.9495718363463451E-2</c:v>
                </c:pt>
                <c:pt idx="2">
                  <c:v>3.3271719038816955E-2</c:v>
                </c:pt>
                <c:pt idx="3">
                  <c:v>3.3989266547406055E-2</c:v>
                </c:pt>
                <c:pt idx="4">
                  <c:v>-1.6435986159169476E-2</c:v>
                </c:pt>
                <c:pt idx="5">
                  <c:v>1.7590149516270887E-2</c:v>
                </c:pt>
                <c:pt idx="6">
                  <c:v>1.2100259291270453E-2</c:v>
                </c:pt>
                <c:pt idx="7">
                  <c:v>3.4158838599488103E-3</c:v>
                </c:pt>
                <c:pt idx="8">
                  <c:v>-5.1063829787233563E-3</c:v>
                </c:pt>
                <c:pt idx="9">
                  <c:v>6.8434559452523278E-3</c:v>
                </c:pt>
                <c:pt idx="10">
                  <c:v>2.5488530161427115E-3</c:v>
                </c:pt>
                <c:pt idx="11">
                  <c:v>1.7796610169491477E-2</c:v>
                </c:pt>
                <c:pt idx="12">
                  <c:v>2.9975020815986752E-2</c:v>
                </c:pt>
                <c:pt idx="13">
                  <c:v>3.9611964430072685E-2</c:v>
                </c:pt>
                <c:pt idx="14">
                  <c:v>2.3328149300155521E-2</c:v>
                </c:pt>
                <c:pt idx="15">
                  <c:v>1.0638297872340469E-2</c:v>
                </c:pt>
                <c:pt idx="16">
                  <c:v>4.3609022556391062E-2</c:v>
                </c:pt>
                <c:pt idx="17">
                  <c:v>7.34870317002881E-2</c:v>
                </c:pt>
                <c:pt idx="18">
                  <c:v>6.1744966442952944E-2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DF-2446-8C1E-8D3E899F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705359"/>
        <c:axId val="490707071"/>
      </c:lineChart>
      <c:catAx>
        <c:axId val="49070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07071"/>
        <c:crosses val="autoZero"/>
        <c:auto val="1"/>
        <c:lblAlgn val="ctr"/>
        <c:lblOffset val="100"/>
        <c:noMultiLvlLbl val="0"/>
      </c:catAx>
      <c:valAx>
        <c:axId val="49070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0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Graphe IPC</a:t>
            </a:r>
            <a:br>
              <a:rPr lang="en-CA"/>
            </a:b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3.8424000797368685E-2"/>
          <c:y val="5.8359430923407292E-2"/>
          <c:w val="0.94132283464566924"/>
          <c:h val="0.88189591535433076"/>
        </c:manualLayout>
      </c:layout>
      <c:lineChart>
        <c:grouping val="standard"/>
        <c:varyColors val="0"/>
        <c:ser>
          <c:idx val="0"/>
          <c:order val="0"/>
          <c:tx>
            <c:strRef>
              <c:f>IPC!$P$3:$P$4</c:f>
              <c:strCache>
                <c:ptCount val="2"/>
                <c:pt idx="0">
                  <c:v>IPC Ensemble 2002 = 100</c:v>
                </c:pt>
                <c:pt idx="1">
                  <c:v>1.00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IPC!$D$7:$D$28</c:f>
              <c:numCache>
                <c:formatCode>General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IPC!$P$7:$P$28</c:f>
              <c:numCache>
                <c:formatCode>0.0</c:formatCode>
                <c:ptCount val="22"/>
                <c:pt idx="0">
                  <c:v>100</c:v>
                </c:pt>
                <c:pt idx="1">
                  <c:v>102.8</c:v>
                </c:pt>
                <c:pt idx="2">
                  <c:v>104.7</c:v>
                </c:pt>
                <c:pt idx="3">
                  <c:v>107</c:v>
                </c:pt>
                <c:pt idx="4">
                  <c:v>109.1</c:v>
                </c:pt>
                <c:pt idx="5">
                  <c:v>111.5</c:v>
                </c:pt>
                <c:pt idx="6">
                  <c:v>114.1</c:v>
                </c:pt>
                <c:pt idx="7">
                  <c:v>114.4</c:v>
                </c:pt>
                <c:pt idx="8">
                  <c:v>116.5</c:v>
                </c:pt>
                <c:pt idx="9">
                  <c:v>119.9</c:v>
                </c:pt>
                <c:pt idx="10">
                  <c:v>121.7</c:v>
                </c:pt>
                <c:pt idx="11">
                  <c:v>122.8</c:v>
                </c:pt>
                <c:pt idx="12">
                  <c:v>125.2</c:v>
                </c:pt>
                <c:pt idx="13">
                  <c:v>126.6</c:v>
                </c:pt>
                <c:pt idx="14">
                  <c:v>128.4</c:v>
                </c:pt>
                <c:pt idx="15">
                  <c:v>130.4</c:v>
                </c:pt>
                <c:pt idx="16">
                  <c:v>133.4</c:v>
                </c:pt>
                <c:pt idx="17">
                  <c:v>136</c:v>
                </c:pt>
                <c:pt idx="18">
                  <c:v>137</c:v>
                </c:pt>
                <c:pt idx="19">
                  <c:v>141.6</c:v>
                </c:pt>
                <c:pt idx="20">
                  <c:v>151.19999999999999</c:v>
                </c:pt>
                <c:pt idx="21" formatCode="General">
                  <c:v>157.1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B-CA44-BA4B-5604E240FA50}"/>
            </c:ext>
          </c:extLst>
        </c:ser>
        <c:ser>
          <c:idx val="1"/>
          <c:order val="1"/>
          <c:tx>
            <c:strRef>
              <c:f>IPC!$AC$3:$AC$4</c:f>
              <c:strCache>
                <c:ptCount val="2"/>
                <c:pt idx="0">
                  <c:v>IPC Ensemble etudiants 2002 = 100</c:v>
                </c:pt>
                <c:pt idx="1">
                  <c:v>1.000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IPC!$D$7:$D$28</c:f>
              <c:numCache>
                <c:formatCode>General</c:formatCode>
                <c:ptCount val="22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</c:numCache>
            </c:numRef>
          </c:cat>
          <c:val>
            <c:numRef>
              <c:f>IPC!$AC$7:$AC$28</c:f>
              <c:numCache>
                <c:formatCode>0</c:formatCode>
                <c:ptCount val="22"/>
                <c:pt idx="0">
                  <c:v>100.00000000000001</c:v>
                </c:pt>
                <c:pt idx="1">
                  <c:v>103.84900000000002</c:v>
                </c:pt>
                <c:pt idx="2">
                  <c:v>107.87950000000001</c:v>
                </c:pt>
                <c:pt idx="3">
                  <c:v>110.89279999999999</c:v>
                </c:pt>
                <c:pt idx="4">
                  <c:v>113.4014</c:v>
                </c:pt>
                <c:pt idx="5">
                  <c:v>116.4028</c:v>
                </c:pt>
                <c:pt idx="6">
                  <c:v>119.98360000000001</c:v>
                </c:pt>
                <c:pt idx="7">
                  <c:v>122.5587</c:v>
                </c:pt>
                <c:pt idx="8">
                  <c:v>125.81249999999999</c:v>
                </c:pt>
                <c:pt idx="9">
                  <c:v>129.917</c:v>
                </c:pt>
                <c:pt idx="10">
                  <c:v>133.3382</c:v>
                </c:pt>
                <c:pt idx="11">
                  <c:v>136.21019999999999</c:v>
                </c:pt>
                <c:pt idx="12">
                  <c:v>139.81020000000001</c:v>
                </c:pt>
                <c:pt idx="13">
                  <c:v>142.9196</c:v>
                </c:pt>
                <c:pt idx="14">
                  <c:v>145.92360000000002</c:v>
                </c:pt>
                <c:pt idx="15">
                  <c:v>148.93180000000001</c:v>
                </c:pt>
                <c:pt idx="16">
                  <c:v>152.74500000000003</c:v>
                </c:pt>
                <c:pt idx="17">
                  <c:v>155.166</c:v>
                </c:pt>
                <c:pt idx="18">
                  <c:v>154.9187</c:v>
                </c:pt>
                <c:pt idx="19">
                  <c:v>159.0359</c:v>
                </c:pt>
                <c:pt idx="20">
                  <c:v>166.61199999999999</c:v>
                </c:pt>
                <c:pt idx="21">
                  <c:v>172.79080000000002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B-CA44-BA4B-5604E240FA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53060015"/>
        <c:axId val="107812016"/>
      </c:lineChart>
      <c:catAx>
        <c:axId val="165306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2016"/>
        <c:crosses val="autoZero"/>
        <c:auto val="1"/>
        <c:lblAlgn val="ctr"/>
        <c:lblOffset val="100"/>
        <c:noMultiLvlLbl val="0"/>
      </c:catAx>
      <c:valAx>
        <c:axId val="107812016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0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Graphe</a:t>
            </a:r>
            <a:r>
              <a:rPr lang="en-US" baseline="0"/>
              <a:t> Activité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Activite!$D$4:$D$6</c:f>
              <c:strCache>
                <c:ptCount val="3"/>
                <c:pt idx="0">
                  <c:v>Taux d'activité</c:v>
                </c:pt>
                <c:pt idx="2">
                  <c:v>Québec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Activite!$C$7:$C$43</c:f>
              <c:strCache>
                <c:ptCount val="37"/>
                <c:pt idx="0">
                  <c:v>1987 </c:v>
                </c:pt>
                <c:pt idx="1">
                  <c:v>1988 </c:v>
                </c:pt>
                <c:pt idx="2">
                  <c:v>1989 </c:v>
                </c:pt>
                <c:pt idx="3">
                  <c:v>1990 </c:v>
                </c:pt>
                <c:pt idx="4">
                  <c:v>1991 </c:v>
                </c:pt>
                <c:pt idx="5">
                  <c:v>1992 </c:v>
                </c:pt>
                <c:pt idx="6">
                  <c:v>1993 </c:v>
                </c:pt>
                <c:pt idx="7">
                  <c:v>1994 </c:v>
                </c:pt>
                <c:pt idx="8">
                  <c:v>1995 </c:v>
                </c:pt>
                <c:pt idx="9">
                  <c:v>1996 </c:v>
                </c:pt>
                <c:pt idx="10">
                  <c:v>1997 </c:v>
                </c:pt>
                <c:pt idx="11">
                  <c:v>1998 </c:v>
                </c:pt>
                <c:pt idx="12">
                  <c:v>1999 </c:v>
                </c:pt>
                <c:pt idx="13">
                  <c:v>2000 </c:v>
                </c:pt>
                <c:pt idx="14">
                  <c:v>2001 </c:v>
                </c:pt>
                <c:pt idx="15">
                  <c:v>2002 </c:v>
                </c:pt>
                <c:pt idx="16">
                  <c:v>2003 </c:v>
                </c:pt>
                <c:pt idx="17">
                  <c:v>2004 </c:v>
                </c:pt>
                <c:pt idx="18">
                  <c:v>2005 </c:v>
                </c:pt>
                <c:pt idx="19">
                  <c:v>2006 </c:v>
                </c:pt>
                <c:pt idx="20">
                  <c:v>2007 </c:v>
                </c:pt>
                <c:pt idx="21">
                  <c:v>2008 </c:v>
                </c:pt>
                <c:pt idx="22">
                  <c:v>2009 </c:v>
                </c:pt>
                <c:pt idx="23">
                  <c:v>2010 </c:v>
                </c:pt>
                <c:pt idx="24">
                  <c:v>2011 </c:v>
                </c:pt>
                <c:pt idx="25">
                  <c:v>2012 </c:v>
                </c:pt>
                <c:pt idx="26">
                  <c:v>2013 </c:v>
                </c:pt>
                <c:pt idx="27">
                  <c:v>2014 </c:v>
                </c:pt>
                <c:pt idx="28">
                  <c:v>2015 </c:v>
                </c:pt>
                <c:pt idx="29">
                  <c:v>2016 </c:v>
                </c:pt>
                <c:pt idx="30">
                  <c:v>2017 </c:v>
                </c:pt>
                <c:pt idx="31">
                  <c:v>2018 </c:v>
                </c:pt>
                <c:pt idx="32">
                  <c:v>2019 </c:v>
                </c:pt>
                <c:pt idx="33">
                  <c:v>2020 </c:v>
                </c:pt>
                <c:pt idx="34">
                  <c:v>2021 </c:v>
                </c:pt>
                <c:pt idx="35">
                  <c:v>2022 </c:v>
                </c:pt>
                <c:pt idx="36">
                  <c:v>2023</c:v>
                </c:pt>
              </c:strCache>
            </c:strRef>
          </c:cat>
          <c:val>
            <c:numRef>
              <c:f>Activite!$D$7:$D$43</c:f>
              <c:numCache>
                <c:formatCode>General</c:formatCode>
                <c:ptCount val="37"/>
                <c:pt idx="0">
                  <c:v>59.4</c:v>
                </c:pt>
                <c:pt idx="1">
                  <c:v>59.8</c:v>
                </c:pt>
                <c:pt idx="2">
                  <c:v>61.9</c:v>
                </c:pt>
                <c:pt idx="3">
                  <c:v>62.8</c:v>
                </c:pt>
                <c:pt idx="4">
                  <c:v>63.9</c:v>
                </c:pt>
                <c:pt idx="5">
                  <c:v>64.400000000000006</c:v>
                </c:pt>
                <c:pt idx="6">
                  <c:v>64.099999999999994</c:v>
                </c:pt>
                <c:pt idx="7">
                  <c:v>63.5</c:v>
                </c:pt>
                <c:pt idx="8">
                  <c:v>65.3</c:v>
                </c:pt>
                <c:pt idx="9">
                  <c:v>65.7</c:v>
                </c:pt>
                <c:pt idx="10">
                  <c:v>66.7</c:v>
                </c:pt>
                <c:pt idx="11">
                  <c:v>68.400000000000006</c:v>
                </c:pt>
                <c:pt idx="12">
                  <c:v>69.2</c:v>
                </c:pt>
                <c:pt idx="13">
                  <c:v>71.5</c:v>
                </c:pt>
                <c:pt idx="14">
                  <c:v>72.599999999999994</c:v>
                </c:pt>
                <c:pt idx="15">
                  <c:v>74.2</c:v>
                </c:pt>
                <c:pt idx="16">
                  <c:v>74.599999999999994</c:v>
                </c:pt>
                <c:pt idx="17">
                  <c:v>77.8</c:v>
                </c:pt>
                <c:pt idx="18">
                  <c:v>77.8</c:v>
                </c:pt>
                <c:pt idx="19">
                  <c:v>76.7</c:v>
                </c:pt>
                <c:pt idx="20">
                  <c:v>77.900000000000006</c:v>
                </c:pt>
                <c:pt idx="21">
                  <c:v>75.7</c:v>
                </c:pt>
                <c:pt idx="22">
                  <c:v>77.400000000000006</c:v>
                </c:pt>
                <c:pt idx="23">
                  <c:v>78.7</c:v>
                </c:pt>
                <c:pt idx="24">
                  <c:v>79.7</c:v>
                </c:pt>
                <c:pt idx="25">
                  <c:v>80.099999999999994</c:v>
                </c:pt>
                <c:pt idx="26">
                  <c:v>81.599999999999994</c:v>
                </c:pt>
                <c:pt idx="27">
                  <c:v>80.2</c:v>
                </c:pt>
                <c:pt idx="28">
                  <c:v>80.900000000000006</c:v>
                </c:pt>
                <c:pt idx="29">
                  <c:v>81.5</c:v>
                </c:pt>
                <c:pt idx="30">
                  <c:v>83.4</c:v>
                </c:pt>
                <c:pt idx="31">
                  <c:v>81.3</c:v>
                </c:pt>
                <c:pt idx="32">
                  <c:v>82.2</c:v>
                </c:pt>
                <c:pt idx="33">
                  <c:v>81.900000000000006</c:v>
                </c:pt>
                <c:pt idx="34">
                  <c:v>82.6</c:v>
                </c:pt>
                <c:pt idx="35">
                  <c:v>83.1</c:v>
                </c:pt>
                <c:pt idx="36">
                  <c:v>85.3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3-3E45-AE30-A53EEB90C554}"/>
            </c:ext>
          </c:extLst>
        </c:ser>
        <c:ser>
          <c:idx val="1"/>
          <c:order val="1"/>
          <c:tx>
            <c:strRef>
              <c:f>Activite!$E$4:$E$6</c:f>
              <c:strCache>
                <c:ptCount val="3"/>
                <c:pt idx="0">
                  <c:v>Taux d'activité</c:v>
                </c:pt>
                <c:pt idx="2">
                  <c:v>Ontario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Activite!$C$7:$C$43</c:f>
              <c:strCache>
                <c:ptCount val="37"/>
                <c:pt idx="0">
                  <c:v>1987 </c:v>
                </c:pt>
                <c:pt idx="1">
                  <c:v>1988 </c:v>
                </c:pt>
                <c:pt idx="2">
                  <c:v>1989 </c:v>
                </c:pt>
                <c:pt idx="3">
                  <c:v>1990 </c:v>
                </c:pt>
                <c:pt idx="4">
                  <c:v>1991 </c:v>
                </c:pt>
                <c:pt idx="5">
                  <c:v>1992 </c:v>
                </c:pt>
                <c:pt idx="6">
                  <c:v>1993 </c:v>
                </c:pt>
                <c:pt idx="7">
                  <c:v>1994 </c:v>
                </c:pt>
                <c:pt idx="8">
                  <c:v>1995 </c:v>
                </c:pt>
                <c:pt idx="9">
                  <c:v>1996 </c:v>
                </c:pt>
                <c:pt idx="10">
                  <c:v>1997 </c:v>
                </c:pt>
                <c:pt idx="11">
                  <c:v>1998 </c:v>
                </c:pt>
                <c:pt idx="12">
                  <c:v>1999 </c:v>
                </c:pt>
                <c:pt idx="13">
                  <c:v>2000 </c:v>
                </c:pt>
                <c:pt idx="14">
                  <c:v>2001 </c:v>
                </c:pt>
                <c:pt idx="15">
                  <c:v>2002 </c:v>
                </c:pt>
                <c:pt idx="16">
                  <c:v>2003 </c:v>
                </c:pt>
                <c:pt idx="17">
                  <c:v>2004 </c:v>
                </c:pt>
                <c:pt idx="18">
                  <c:v>2005 </c:v>
                </c:pt>
                <c:pt idx="19">
                  <c:v>2006 </c:v>
                </c:pt>
                <c:pt idx="20">
                  <c:v>2007 </c:v>
                </c:pt>
                <c:pt idx="21">
                  <c:v>2008 </c:v>
                </c:pt>
                <c:pt idx="22">
                  <c:v>2009 </c:v>
                </c:pt>
                <c:pt idx="23">
                  <c:v>2010 </c:v>
                </c:pt>
                <c:pt idx="24">
                  <c:v>2011 </c:v>
                </c:pt>
                <c:pt idx="25">
                  <c:v>2012 </c:v>
                </c:pt>
                <c:pt idx="26">
                  <c:v>2013 </c:v>
                </c:pt>
                <c:pt idx="27">
                  <c:v>2014 </c:v>
                </c:pt>
                <c:pt idx="28">
                  <c:v>2015 </c:v>
                </c:pt>
                <c:pt idx="29">
                  <c:v>2016 </c:v>
                </c:pt>
                <c:pt idx="30">
                  <c:v>2017 </c:v>
                </c:pt>
                <c:pt idx="31">
                  <c:v>2018 </c:v>
                </c:pt>
                <c:pt idx="32">
                  <c:v>2019 </c:v>
                </c:pt>
                <c:pt idx="33">
                  <c:v>2020 </c:v>
                </c:pt>
                <c:pt idx="34">
                  <c:v>2021 </c:v>
                </c:pt>
                <c:pt idx="35">
                  <c:v>2022 </c:v>
                </c:pt>
                <c:pt idx="36">
                  <c:v>2023</c:v>
                </c:pt>
              </c:strCache>
            </c:strRef>
          </c:cat>
          <c:val>
            <c:numRef>
              <c:f>Activite!$E$7:$E$43</c:f>
              <c:numCache>
                <c:formatCode>General</c:formatCode>
                <c:ptCount val="37"/>
                <c:pt idx="0">
                  <c:v>63.6</c:v>
                </c:pt>
                <c:pt idx="1">
                  <c:v>65</c:v>
                </c:pt>
                <c:pt idx="2">
                  <c:v>66.599999999999994</c:v>
                </c:pt>
                <c:pt idx="3">
                  <c:v>66.3</c:v>
                </c:pt>
                <c:pt idx="4">
                  <c:v>68</c:v>
                </c:pt>
                <c:pt idx="5">
                  <c:v>66.3</c:v>
                </c:pt>
                <c:pt idx="6">
                  <c:v>66.3</c:v>
                </c:pt>
                <c:pt idx="7">
                  <c:v>66.8</c:v>
                </c:pt>
                <c:pt idx="8">
                  <c:v>67.5</c:v>
                </c:pt>
                <c:pt idx="9">
                  <c:v>68.7</c:v>
                </c:pt>
                <c:pt idx="10">
                  <c:v>69.599999999999994</c:v>
                </c:pt>
                <c:pt idx="11">
                  <c:v>70.400000000000006</c:v>
                </c:pt>
                <c:pt idx="12">
                  <c:v>69.3</c:v>
                </c:pt>
                <c:pt idx="13">
                  <c:v>70.8</c:v>
                </c:pt>
                <c:pt idx="14">
                  <c:v>71.400000000000006</c:v>
                </c:pt>
                <c:pt idx="15">
                  <c:v>71.599999999999994</c:v>
                </c:pt>
                <c:pt idx="16">
                  <c:v>71.5</c:v>
                </c:pt>
                <c:pt idx="17">
                  <c:v>72.099999999999994</c:v>
                </c:pt>
                <c:pt idx="18">
                  <c:v>73.7</c:v>
                </c:pt>
                <c:pt idx="19">
                  <c:v>70.5</c:v>
                </c:pt>
                <c:pt idx="20">
                  <c:v>74.400000000000006</c:v>
                </c:pt>
                <c:pt idx="21">
                  <c:v>71.8</c:v>
                </c:pt>
                <c:pt idx="22">
                  <c:v>72.7</c:v>
                </c:pt>
                <c:pt idx="23">
                  <c:v>73.2</c:v>
                </c:pt>
                <c:pt idx="24">
                  <c:v>73.400000000000006</c:v>
                </c:pt>
                <c:pt idx="25">
                  <c:v>74.099999999999994</c:v>
                </c:pt>
                <c:pt idx="26">
                  <c:v>74.7</c:v>
                </c:pt>
                <c:pt idx="27">
                  <c:v>73.2</c:v>
                </c:pt>
                <c:pt idx="28">
                  <c:v>72.3</c:v>
                </c:pt>
                <c:pt idx="29">
                  <c:v>73.400000000000006</c:v>
                </c:pt>
                <c:pt idx="30">
                  <c:v>73.099999999999994</c:v>
                </c:pt>
                <c:pt idx="31">
                  <c:v>72.8</c:v>
                </c:pt>
                <c:pt idx="32">
                  <c:v>73.3</c:v>
                </c:pt>
                <c:pt idx="33">
                  <c:v>74.2</c:v>
                </c:pt>
                <c:pt idx="34">
                  <c:v>76.5</c:v>
                </c:pt>
                <c:pt idx="35">
                  <c:v>78.900000000000006</c:v>
                </c:pt>
                <c:pt idx="36">
                  <c:v>78.7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3-3E45-AE30-A53EEB90C554}"/>
            </c:ext>
          </c:extLst>
        </c:ser>
        <c:ser>
          <c:idx val="2"/>
          <c:order val="2"/>
          <c:tx>
            <c:strRef>
              <c:f>Activite!$F$4:$F$6</c:f>
              <c:strCache>
                <c:ptCount val="3"/>
                <c:pt idx="0">
                  <c:v>Taux d'activité</c:v>
                </c:pt>
                <c:pt idx="2">
                  <c:v>Alberta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Activite!$C$7:$C$43</c:f>
              <c:strCache>
                <c:ptCount val="37"/>
                <c:pt idx="0">
                  <c:v>1987 </c:v>
                </c:pt>
                <c:pt idx="1">
                  <c:v>1988 </c:v>
                </c:pt>
                <c:pt idx="2">
                  <c:v>1989 </c:v>
                </c:pt>
                <c:pt idx="3">
                  <c:v>1990 </c:v>
                </c:pt>
                <c:pt idx="4">
                  <c:v>1991 </c:v>
                </c:pt>
                <c:pt idx="5">
                  <c:v>1992 </c:v>
                </c:pt>
                <c:pt idx="6">
                  <c:v>1993 </c:v>
                </c:pt>
                <c:pt idx="7">
                  <c:v>1994 </c:v>
                </c:pt>
                <c:pt idx="8">
                  <c:v>1995 </c:v>
                </c:pt>
                <c:pt idx="9">
                  <c:v>1996 </c:v>
                </c:pt>
                <c:pt idx="10">
                  <c:v>1997 </c:v>
                </c:pt>
                <c:pt idx="11">
                  <c:v>1998 </c:v>
                </c:pt>
                <c:pt idx="12">
                  <c:v>1999 </c:v>
                </c:pt>
                <c:pt idx="13">
                  <c:v>2000 </c:v>
                </c:pt>
                <c:pt idx="14">
                  <c:v>2001 </c:v>
                </c:pt>
                <c:pt idx="15">
                  <c:v>2002 </c:v>
                </c:pt>
                <c:pt idx="16">
                  <c:v>2003 </c:v>
                </c:pt>
                <c:pt idx="17">
                  <c:v>2004 </c:v>
                </c:pt>
                <c:pt idx="18">
                  <c:v>2005 </c:v>
                </c:pt>
                <c:pt idx="19">
                  <c:v>2006 </c:v>
                </c:pt>
                <c:pt idx="20">
                  <c:v>2007 </c:v>
                </c:pt>
                <c:pt idx="21">
                  <c:v>2008 </c:v>
                </c:pt>
                <c:pt idx="22">
                  <c:v>2009 </c:v>
                </c:pt>
                <c:pt idx="23">
                  <c:v>2010 </c:v>
                </c:pt>
                <c:pt idx="24">
                  <c:v>2011 </c:v>
                </c:pt>
                <c:pt idx="25">
                  <c:v>2012 </c:v>
                </c:pt>
                <c:pt idx="26">
                  <c:v>2013 </c:v>
                </c:pt>
                <c:pt idx="27">
                  <c:v>2014 </c:v>
                </c:pt>
                <c:pt idx="28">
                  <c:v>2015 </c:v>
                </c:pt>
                <c:pt idx="29">
                  <c:v>2016 </c:v>
                </c:pt>
                <c:pt idx="30">
                  <c:v>2017 </c:v>
                </c:pt>
                <c:pt idx="31">
                  <c:v>2018 </c:v>
                </c:pt>
                <c:pt idx="32">
                  <c:v>2019 </c:v>
                </c:pt>
                <c:pt idx="33">
                  <c:v>2020 </c:v>
                </c:pt>
                <c:pt idx="34">
                  <c:v>2021 </c:v>
                </c:pt>
                <c:pt idx="35">
                  <c:v>2022 </c:v>
                </c:pt>
                <c:pt idx="36">
                  <c:v>2023</c:v>
                </c:pt>
              </c:strCache>
            </c:strRef>
          </c:cat>
          <c:val>
            <c:numRef>
              <c:f>Activite!$F$7:$F$43</c:f>
              <c:numCache>
                <c:formatCode>General</c:formatCode>
                <c:ptCount val="37"/>
                <c:pt idx="0">
                  <c:v>61.7</c:v>
                </c:pt>
                <c:pt idx="1">
                  <c:v>63.6</c:v>
                </c:pt>
                <c:pt idx="2">
                  <c:v>63.2</c:v>
                </c:pt>
                <c:pt idx="3">
                  <c:v>63.2</c:v>
                </c:pt>
                <c:pt idx="4">
                  <c:v>65.400000000000006</c:v>
                </c:pt>
                <c:pt idx="5">
                  <c:v>64.8</c:v>
                </c:pt>
                <c:pt idx="6">
                  <c:v>67.400000000000006</c:v>
                </c:pt>
                <c:pt idx="7">
                  <c:v>68.3</c:v>
                </c:pt>
                <c:pt idx="8">
                  <c:v>68.900000000000006</c:v>
                </c:pt>
                <c:pt idx="9">
                  <c:v>68.3</c:v>
                </c:pt>
                <c:pt idx="10">
                  <c:v>70</c:v>
                </c:pt>
                <c:pt idx="11">
                  <c:v>69</c:v>
                </c:pt>
                <c:pt idx="12">
                  <c:v>69.099999999999994</c:v>
                </c:pt>
                <c:pt idx="13">
                  <c:v>67.099999999999994</c:v>
                </c:pt>
                <c:pt idx="14">
                  <c:v>66.5</c:v>
                </c:pt>
                <c:pt idx="15">
                  <c:v>65.099999999999994</c:v>
                </c:pt>
                <c:pt idx="16">
                  <c:v>65.5</c:v>
                </c:pt>
                <c:pt idx="17">
                  <c:v>67.400000000000006</c:v>
                </c:pt>
                <c:pt idx="18">
                  <c:v>66.2</c:v>
                </c:pt>
                <c:pt idx="19">
                  <c:v>66.8</c:v>
                </c:pt>
                <c:pt idx="20">
                  <c:v>67.5</c:v>
                </c:pt>
                <c:pt idx="21">
                  <c:v>66.7</c:v>
                </c:pt>
                <c:pt idx="22">
                  <c:v>66.2</c:v>
                </c:pt>
                <c:pt idx="23">
                  <c:v>67.900000000000006</c:v>
                </c:pt>
                <c:pt idx="24">
                  <c:v>66.2</c:v>
                </c:pt>
                <c:pt idx="25">
                  <c:v>66.8</c:v>
                </c:pt>
                <c:pt idx="26">
                  <c:v>67.599999999999994</c:v>
                </c:pt>
                <c:pt idx="27">
                  <c:v>66.599999999999994</c:v>
                </c:pt>
                <c:pt idx="28">
                  <c:v>66.5</c:v>
                </c:pt>
                <c:pt idx="29">
                  <c:v>68.400000000000006</c:v>
                </c:pt>
                <c:pt idx="30">
                  <c:v>69.5</c:v>
                </c:pt>
                <c:pt idx="31">
                  <c:v>71</c:v>
                </c:pt>
                <c:pt idx="32">
                  <c:v>71.400000000000006</c:v>
                </c:pt>
                <c:pt idx="33">
                  <c:v>72.7</c:v>
                </c:pt>
                <c:pt idx="34">
                  <c:v>69.2</c:v>
                </c:pt>
                <c:pt idx="35">
                  <c:v>73.400000000000006</c:v>
                </c:pt>
                <c:pt idx="36">
                  <c:v>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3-3E45-AE30-A53EEB90C554}"/>
            </c:ext>
          </c:extLst>
        </c:ser>
        <c:ser>
          <c:idx val="3"/>
          <c:order val="3"/>
          <c:tx>
            <c:strRef>
              <c:f>Activite!$G$4:$G$6</c:f>
              <c:strCache>
                <c:ptCount val="3"/>
                <c:pt idx="0">
                  <c:v>Taux d'activité</c:v>
                </c:pt>
                <c:pt idx="2">
                  <c:v>CB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Activite!$C$7:$C$43</c:f>
              <c:strCache>
                <c:ptCount val="37"/>
                <c:pt idx="0">
                  <c:v>1987 </c:v>
                </c:pt>
                <c:pt idx="1">
                  <c:v>1988 </c:v>
                </c:pt>
                <c:pt idx="2">
                  <c:v>1989 </c:v>
                </c:pt>
                <c:pt idx="3">
                  <c:v>1990 </c:v>
                </c:pt>
                <c:pt idx="4">
                  <c:v>1991 </c:v>
                </c:pt>
                <c:pt idx="5">
                  <c:v>1992 </c:v>
                </c:pt>
                <c:pt idx="6">
                  <c:v>1993 </c:v>
                </c:pt>
                <c:pt idx="7">
                  <c:v>1994 </c:v>
                </c:pt>
                <c:pt idx="8">
                  <c:v>1995 </c:v>
                </c:pt>
                <c:pt idx="9">
                  <c:v>1996 </c:v>
                </c:pt>
                <c:pt idx="10">
                  <c:v>1997 </c:v>
                </c:pt>
                <c:pt idx="11">
                  <c:v>1998 </c:v>
                </c:pt>
                <c:pt idx="12">
                  <c:v>1999 </c:v>
                </c:pt>
                <c:pt idx="13">
                  <c:v>2000 </c:v>
                </c:pt>
                <c:pt idx="14">
                  <c:v>2001 </c:v>
                </c:pt>
                <c:pt idx="15">
                  <c:v>2002 </c:v>
                </c:pt>
                <c:pt idx="16">
                  <c:v>2003 </c:v>
                </c:pt>
                <c:pt idx="17">
                  <c:v>2004 </c:v>
                </c:pt>
                <c:pt idx="18">
                  <c:v>2005 </c:v>
                </c:pt>
                <c:pt idx="19">
                  <c:v>2006 </c:v>
                </c:pt>
                <c:pt idx="20">
                  <c:v>2007 </c:v>
                </c:pt>
                <c:pt idx="21">
                  <c:v>2008 </c:v>
                </c:pt>
                <c:pt idx="22">
                  <c:v>2009 </c:v>
                </c:pt>
                <c:pt idx="23">
                  <c:v>2010 </c:v>
                </c:pt>
                <c:pt idx="24">
                  <c:v>2011 </c:v>
                </c:pt>
                <c:pt idx="25">
                  <c:v>2012 </c:v>
                </c:pt>
                <c:pt idx="26">
                  <c:v>2013 </c:v>
                </c:pt>
                <c:pt idx="27">
                  <c:v>2014 </c:v>
                </c:pt>
                <c:pt idx="28">
                  <c:v>2015 </c:v>
                </c:pt>
                <c:pt idx="29">
                  <c:v>2016 </c:v>
                </c:pt>
                <c:pt idx="30">
                  <c:v>2017 </c:v>
                </c:pt>
                <c:pt idx="31">
                  <c:v>2018 </c:v>
                </c:pt>
                <c:pt idx="32">
                  <c:v>2019 </c:v>
                </c:pt>
                <c:pt idx="33">
                  <c:v>2020 </c:v>
                </c:pt>
                <c:pt idx="34">
                  <c:v>2021 </c:v>
                </c:pt>
                <c:pt idx="35">
                  <c:v>2022 </c:v>
                </c:pt>
                <c:pt idx="36">
                  <c:v>2023</c:v>
                </c:pt>
              </c:strCache>
            </c:strRef>
          </c:cat>
          <c:val>
            <c:numRef>
              <c:f>Activite!$G$7:$G$43</c:f>
              <c:numCache>
                <c:formatCode>General</c:formatCode>
                <c:ptCount val="37"/>
                <c:pt idx="0">
                  <c:v>58</c:v>
                </c:pt>
                <c:pt idx="1">
                  <c:v>59.8</c:v>
                </c:pt>
                <c:pt idx="2">
                  <c:v>60.7</c:v>
                </c:pt>
                <c:pt idx="3">
                  <c:v>60.3</c:v>
                </c:pt>
                <c:pt idx="4">
                  <c:v>64</c:v>
                </c:pt>
                <c:pt idx="5">
                  <c:v>63.8</c:v>
                </c:pt>
                <c:pt idx="6">
                  <c:v>63.1</c:v>
                </c:pt>
                <c:pt idx="7">
                  <c:v>64.400000000000006</c:v>
                </c:pt>
                <c:pt idx="8">
                  <c:v>63.1</c:v>
                </c:pt>
                <c:pt idx="9">
                  <c:v>66.5</c:v>
                </c:pt>
                <c:pt idx="10">
                  <c:v>66.7</c:v>
                </c:pt>
                <c:pt idx="11">
                  <c:v>66.400000000000006</c:v>
                </c:pt>
                <c:pt idx="12">
                  <c:v>68.8</c:v>
                </c:pt>
                <c:pt idx="13">
                  <c:v>67.3</c:v>
                </c:pt>
                <c:pt idx="14">
                  <c:v>67</c:v>
                </c:pt>
                <c:pt idx="15">
                  <c:v>68.2</c:v>
                </c:pt>
                <c:pt idx="16">
                  <c:v>71.2</c:v>
                </c:pt>
                <c:pt idx="17">
                  <c:v>70.5</c:v>
                </c:pt>
                <c:pt idx="18">
                  <c:v>70.3</c:v>
                </c:pt>
                <c:pt idx="19">
                  <c:v>71.099999999999994</c:v>
                </c:pt>
                <c:pt idx="20">
                  <c:v>68.2</c:v>
                </c:pt>
                <c:pt idx="21">
                  <c:v>70.400000000000006</c:v>
                </c:pt>
                <c:pt idx="22">
                  <c:v>70.400000000000006</c:v>
                </c:pt>
                <c:pt idx="23">
                  <c:v>69.8</c:v>
                </c:pt>
                <c:pt idx="24">
                  <c:v>68.900000000000006</c:v>
                </c:pt>
                <c:pt idx="25">
                  <c:v>69.599999999999994</c:v>
                </c:pt>
                <c:pt idx="26">
                  <c:v>72.5</c:v>
                </c:pt>
                <c:pt idx="27">
                  <c:v>73.2</c:v>
                </c:pt>
                <c:pt idx="28">
                  <c:v>71.5</c:v>
                </c:pt>
                <c:pt idx="29">
                  <c:v>71.8</c:v>
                </c:pt>
                <c:pt idx="30">
                  <c:v>73.5</c:v>
                </c:pt>
                <c:pt idx="31">
                  <c:v>71.599999999999994</c:v>
                </c:pt>
                <c:pt idx="32">
                  <c:v>76.099999999999994</c:v>
                </c:pt>
                <c:pt idx="33">
                  <c:v>73.599999999999994</c:v>
                </c:pt>
                <c:pt idx="34">
                  <c:v>75.400000000000006</c:v>
                </c:pt>
                <c:pt idx="35">
                  <c:v>77.5</c:v>
                </c:pt>
                <c:pt idx="36">
                  <c:v>78.8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03-3E45-AE30-A53EEB90C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245119"/>
        <c:axId val="1636009663"/>
      </c:barChart>
      <c:catAx>
        <c:axId val="165324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09663"/>
        <c:crosses val="autoZero"/>
        <c:auto val="1"/>
        <c:lblAlgn val="ctr"/>
        <c:lblOffset val="100"/>
        <c:noMultiLvlLbl val="0"/>
      </c:catAx>
      <c:valAx>
        <c:axId val="1636009663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4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Graphe activité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Activite!$L$4:$L$6</c:f>
              <c:strCache>
                <c:ptCount val="3"/>
                <c:pt idx="0">
                  <c:v>Indices du taux d'activité</c:v>
                </c:pt>
                <c:pt idx="2">
                  <c:v>Québec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Activite!$C$7:$C$43</c:f>
              <c:strCache>
                <c:ptCount val="37"/>
                <c:pt idx="0">
                  <c:v>1987 </c:v>
                </c:pt>
                <c:pt idx="1">
                  <c:v>1988 </c:v>
                </c:pt>
                <c:pt idx="2">
                  <c:v>1989 </c:v>
                </c:pt>
                <c:pt idx="3">
                  <c:v>1990 </c:v>
                </c:pt>
                <c:pt idx="4">
                  <c:v>1991 </c:v>
                </c:pt>
                <c:pt idx="5">
                  <c:v>1992 </c:v>
                </c:pt>
                <c:pt idx="6">
                  <c:v>1993 </c:v>
                </c:pt>
                <c:pt idx="7">
                  <c:v>1994 </c:v>
                </c:pt>
                <c:pt idx="8">
                  <c:v>1995 </c:v>
                </c:pt>
                <c:pt idx="9">
                  <c:v>1996 </c:v>
                </c:pt>
                <c:pt idx="10">
                  <c:v>1997 </c:v>
                </c:pt>
                <c:pt idx="11">
                  <c:v>1998 </c:v>
                </c:pt>
                <c:pt idx="12">
                  <c:v>1999 </c:v>
                </c:pt>
                <c:pt idx="13">
                  <c:v>2000 </c:v>
                </c:pt>
                <c:pt idx="14">
                  <c:v>2001 </c:v>
                </c:pt>
                <c:pt idx="15">
                  <c:v>2002 </c:v>
                </c:pt>
                <c:pt idx="16">
                  <c:v>2003 </c:v>
                </c:pt>
                <c:pt idx="17">
                  <c:v>2004 </c:v>
                </c:pt>
                <c:pt idx="18">
                  <c:v>2005 </c:v>
                </c:pt>
                <c:pt idx="19">
                  <c:v>2006 </c:v>
                </c:pt>
                <c:pt idx="20">
                  <c:v>2007 </c:v>
                </c:pt>
                <c:pt idx="21">
                  <c:v>2008 </c:v>
                </c:pt>
                <c:pt idx="22">
                  <c:v>2009 </c:v>
                </c:pt>
                <c:pt idx="23">
                  <c:v>2010 </c:v>
                </c:pt>
                <c:pt idx="24">
                  <c:v>2011 </c:v>
                </c:pt>
                <c:pt idx="25">
                  <c:v>2012 </c:v>
                </c:pt>
                <c:pt idx="26">
                  <c:v>2013 </c:v>
                </c:pt>
                <c:pt idx="27">
                  <c:v>2014 </c:v>
                </c:pt>
                <c:pt idx="28">
                  <c:v>2015 </c:v>
                </c:pt>
                <c:pt idx="29">
                  <c:v>2016 </c:v>
                </c:pt>
                <c:pt idx="30">
                  <c:v>2017 </c:v>
                </c:pt>
                <c:pt idx="31">
                  <c:v>2018 </c:v>
                </c:pt>
                <c:pt idx="32">
                  <c:v>2019 </c:v>
                </c:pt>
                <c:pt idx="33">
                  <c:v>2020 </c:v>
                </c:pt>
                <c:pt idx="34">
                  <c:v>2021 </c:v>
                </c:pt>
                <c:pt idx="35">
                  <c:v>2022 </c:v>
                </c:pt>
                <c:pt idx="36">
                  <c:v>2023</c:v>
                </c:pt>
              </c:strCache>
            </c:strRef>
          </c:cat>
          <c:val>
            <c:numRef>
              <c:f>Activite!$L$7:$L$43</c:f>
              <c:numCache>
                <c:formatCode>0.00%</c:formatCode>
                <c:ptCount val="37"/>
                <c:pt idx="0">
                  <c:v>1</c:v>
                </c:pt>
                <c:pt idx="1">
                  <c:v>1.0067340067340067</c:v>
                </c:pt>
                <c:pt idx="2">
                  <c:v>1.0420875420875422</c:v>
                </c:pt>
                <c:pt idx="3">
                  <c:v>1.0572390572390573</c:v>
                </c:pt>
                <c:pt idx="4">
                  <c:v>1.0757575757575757</c:v>
                </c:pt>
                <c:pt idx="5">
                  <c:v>1.0841750841750843</c:v>
                </c:pt>
                <c:pt idx="6">
                  <c:v>1.0791245791245792</c:v>
                </c:pt>
                <c:pt idx="7">
                  <c:v>1.069023569023569</c:v>
                </c:pt>
                <c:pt idx="8">
                  <c:v>1.0993265993265993</c:v>
                </c:pt>
                <c:pt idx="9">
                  <c:v>1.1060606060606062</c:v>
                </c:pt>
                <c:pt idx="10">
                  <c:v>1.1228956228956231</c:v>
                </c:pt>
                <c:pt idx="11">
                  <c:v>1.1515151515151516</c:v>
                </c:pt>
                <c:pt idx="12">
                  <c:v>1.164983164983165</c:v>
                </c:pt>
                <c:pt idx="13">
                  <c:v>1.2037037037037037</c:v>
                </c:pt>
                <c:pt idx="14">
                  <c:v>1.2222222222222221</c:v>
                </c:pt>
                <c:pt idx="15">
                  <c:v>1.2491582491582491</c:v>
                </c:pt>
                <c:pt idx="16">
                  <c:v>1.2558922558922558</c:v>
                </c:pt>
                <c:pt idx="17">
                  <c:v>1.3097643097643097</c:v>
                </c:pt>
                <c:pt idx="18">
                  <c:v>1.3097643097643097</c:v>
                </c:pt>
                <c:pt idx="19">
                  <c:v>1.2912457912457913</c:v>
                </c:pt>
                <c:pt idx="20">
                  <c:v>1.3114478114478116</c:v>
                </c:pt>
                <c:pt idx="21">
                  <c:v>1.2744107744107744</c:v>
                </c:pt>
                <c:pt idx="22">
                  <c:v>1.3030303030303032</c:v>
                </c:pt>
                <c:pt idx="23">
                  <c:v>1.324915824915825</c:v>
                </c:pt>
                <c:pt idx="24">
                  <c:v>1.3417508417508419</c:v>
                </c:pt>
                <c:pt idx="25">
                  <c:v>1.3484848484848484</c:v>
                </c:pt>
                <c:pt idx="26">
                  <c:v>1.3737373737373737</c:v>
                </c:pt>
                <c:pt idx="27">
                  <c:v>1.3501683501683504</c:v>
                </c:pt>
                <c:pt idx="28">
                  <c:v>1.361952861952862</c:v>
                </c:pt>
                <c:pt idx="29">
                  <c:v>1.3720538720538722</c:v>
                </c:pt>
                <c:pt idx="30">
                  <c:v>1.4040404040404042</c:v>
                </c:pt>
                <c:pt idx="31">
                  <c:v>1.3686868686868687</c:v>
                </c:pt>
                <c:pt idx="32">
                  <c:v>1.3838383838383839</c:v>
                </c:pt>
                <c:pt idx="33">
                  <c:v>1.3787878787878789</c:v>
                </c:pt>
                <c:pt idx="34">
                  <c:v>1.3905723905723906</c:v>
                </c:pt>
                <c:pt idx="35">
                  <c:v>1.398989898989899</c:v>
                </c:pt>
                <c:pt idx="36">
                  <c:v>1.436026936026936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5-2742-BFF9-162667D49C75}"/>
            </c:ext>
          </c:extLst>
        </c:ser>
        <c:ser>
          <c:idx val="1"/>
          <c:order val="1"/>
          <c:tx>
            <c:strRef>
              <c:f>Activite!$M$4:$M$6</c:f>
              <c:strCache>
                <c:ptCount val="3"/>
                <c:pt idx="0">
                  <c:v>Indices du taux d'activité</c:v>
                </c:pt>
                <c:pt idx="2">
                  <c:v>Ontario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Activite!$C$7:$C$43</c:f>
              <c:strCache>
                <c:ptCount val="37"/>
                <c:pt idx="0">
                  <c:v>1987 </c:v>
                </c:pt>
                <c:pt idx="1">
                  <c:v>1988 </c:v>
                </c:pt>
                <c:pt idx="2">
                  <c:v>1989 </c:v>
                </c:pt>
                <c:pt idx="3">
                  <c:v>1990 </c:v>
                </c:pt>
                <c:pt idx="4">
                  <c:v>1991 </c:v>
                </c:pt>
                <c:pt idx="5">
                  <c:v>1992 </c:v>
                </c:pt>
                <c:pt idx="6">
                  <c:v>1993 </c:v>
                </c:pt>
                <c:pt idx="7">
                  <c:v>1994 </c:v>
                </c:pt>
                <c:pt idx="8">
                  <c:v>1995 </c:v>
                </c:pt>
                <c:pt idx="9">
                  <c:v>1996 </c:v>
                </c:pt>
                <c:pt idx="10">
                  <c:v>1997 </c:v>
                </c:pt>
                <c:pt idx="11">
                  <c:v>1998 </c:v>
                </c:pt>
                <c:pt idx="12">
                  <c:v>1999 </c:v>
                </c:pt>
                <c:pt idx="13">
                  <c:v>2000 </c:v>
                </c:pt>
                <c:pt idx="14">
                  <c:v>2001 </c:v>
                </c:pt>
                <c:pt idx="15">
                  <c:v>2002 </c:v>
                </c:pt>
                <c:pt idx="16">
                  <c:v>2003 </c:v>
                </c:pt>
                <c:pt idx="17">
                  <c:v>2004 </c:v>
                </c:pt>
                <c:pt idx="18">
                  <c:v>2005 </c:v>
                </c:pt>
                <c:pt idx="19">
                  <c:v>2006 </c:v>
                </c:pt>
                <c:pt idx="20">
                  <c:v>2007 </c:v>
                </c:pt>
                <c:pt idx="21">
                  <c:v>2008 </c:v>
                </c:pt>
                <c:pt idx="22">
                  <c:v>2009 </c:v>
                </c:pt>
                <c:pt idx="23">
                  <c:v>2010 </c:v>
                </c:pt>
                <c:pt idx="24">
                  <c:v>2011 </c:v>
                </c:pt>
                <c:pt idx="25">
                  <c:v>2012 </c:v>
                </c:pt>
                <c:pt idx="26">
                  <c:v>2013 </c:v>
                </c:pt>
                <c:pt idx="27">
                  <c:v>2014 </c:v>
                </c:pt>
                <c:pt idx="28">
                  <c:v>2015 </c:v>
                </c:pt>
                <c:pt idx="29">
                  <c:v>2016 </c:v>
                </c:pt>
                <c:pt idx="30">
                  <c:v>2017 </c:v>
                </c:pt>
                <c:pt idx="31">
                  <c:v>2018 </c:v>
                </c:pt>
                <c:pt idx="32">
                  <c:v>2019 </c:v>
                </c:pt>
                <c:pt idx="33">
                  <c:v>2020 </c:v>
                </c:pt>
                <c:pt idx="34">
                  <c:v>2021 </c:v>
                </c:pt>
                <c:pt idx="35">
                  <c:v>2022 </c:v>
                </c:pt>
                <c:pt idx="36">
                  <c:v>2023</c:v>
                </c:pt>
              </c:strCache>
            </c:strRef>
          </c:cat>
          <c:val>
            <c:numRef>
              <c:f>Activite!$M$7:$M$43</c:f>
              <c:numCache>
                <c:formatCode>0.00%</c:formatCode>
                <c:ptCount val="37"/>
                <c:pt idx="0">
                  <c:v>1</c:v>
                </c:pt>
                <c:pt idx="1">
                  <c:v>1.0220125786163521</c:v>
                </c:pt>
                <c:pt idx="2">
                  <c:v>1.0471698113207546</c:v>
                </c:pt>
                <c:pt idx="3">
                  <c:v>1.0424528301886791</c:v>
                </c:pt>
                <c:pt idx="4">
                  <c:v>1.0691823899371069</c:v>
                </c:pt>
                <c:pt idx="5">
                  <c:v>1.0424528301886791</c:v>
                </c:pt>
                <c:pt idx="6">
                  <c:v>1.0424528301886791</c:v>
                </c:pt>
                <c:pt idx="7">
                  <c:v>1.050314465408805</c:v>
                </c:pt>
                <c:pt idx="8">
                  <c:v>1.0613207547169812</c:v>
                </c:pt>
                <c:pt idx="9">
                  <c:v>1.0801886792452831</c:v>
                </c:pt>
                <c:pt idx="10">
                  <c:v>1.0943396226415094</c:v>
                </c:pt>
                <c:pt idx="11">
                  <c:v>1.1069182389937107</c:v>
                </c:pt>
                <c:pt idx="12">
                  <c:v>1.0896226415094339</c:v>
                </c:pt>
                <c:pt idx="13">
                  <c:v>1.1132075471698113</c:v>
                </c:pt>
                <c:pt idx="14">
                  <c:v>1.1226415094339623</c:v>
                </c:pt>
                <c:pt idx="15">
                  <c:v>1.1257861635220126</c:v>
                </c:pt>
                <c:pt idx="16">
                  <c:v>1.1242138364779874</c:v>
                </c:pt>
                <c:pt idx="17">
                  <c:v>1.1336477987421383</c:v>
                </c:pt>
                <c:pt idx="18">
                  <c:v>1.1588050314465408</c:v>
                </c:pt>
                <c:pt idx="19">
                  <c:v>1.1084905660377358</c:v>
                </c:pt>
                <c:pt idx="20">
                  <c:v>1.1698113207547169</c:v>
                </c:pt>
                <c:pt idx="21">
                  <c:v>1.1289308176100628</c:v>
                </c:pt>
                <c:pt idx="22">
                  <c:v>1.1430817610062893</c:v>
                </c:pt>
                <c:pt idx="23">
                  <c:v>1.1509433962264151</c:v>
                </c:pt>
                <c:pt idx="24">
                  <c:v>1.1540880503144655</c:v>
                </c:pt>
                <c:pt idx="25">
                  <c:v>1.1650943396226414</c:v>
                </c:pt>
                <c:pt idx="26">
                  <c:v>1.1745283018867925</c:v>
                </c:pt>
                <c:pt idx="27">
                  <c:v>1.1509433962264151</c:v>
                </c:pt>
                <c:pt idx="28">
                  <c:v>1.1367924528301887</c:v>
                </c:pt>
                <c:pt idx="29">
                  <c:v>1.1540880503144655</c:v>
                </c:pt>
                <c:pt idx="30">
                  <c:v>1.1493710691823897</c:v>
                </c:pt>
                <c:pt idx="31">
                  <c:v>1.1446540880503144</c:v>
                </c:pt>
                <c:pt idx="32">
                  <c:v>1.1525157232704402</c:v>
                </c:pt>
                <c:pt idx="33">
                  <c:v>1.1666666666666667</c:v>
                </c:pt>
                <c:pt idx="34">
                  <c:v>1.2028301886792452</c:v>
                </c:pt>
                <c:pt idx="35">
                  <c:v>1.2405660377358492</c:v>
                </c:pt>
                <c:pt idx="36">
                  <c:v>1.2374213836477987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5-2742-BFF9-162667D49C75}"/>
            </c:ext>
          </c:extLst>
        </c:ser>
        <c:ser>
          <c:idx val="2"/>
          <c:order val="2"/>
          <c:tx>
            <c:strRef>
              <c:f>Activite!$N$4:$N$6</c:f>
              <c:strCache>
                <c:ptCount val="3"/>
                <c:pt idx="0">
                  <c:v>Indices du taux d'activité</c:v>
                </c:pt>
                <c:pt idx="2">
                  <c:v>Alberta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Activite!$C$7:$C$43</c:f>
              <c:strCache>
                <c:ptCount val="37"/>
                <c:pt idx="0">
                  <c:v>1987 </c:v>
                </c:pt>
                <c:pt idx="1">
                  <c:v>1988 </c:v>
                </c:pt>
                <c:pt idx="2">
                  <c:v>1989 </c:v>
                </c:pt>
                <c:pt idx="3">
                  <c:v>1990 </c:v>
                </c:pt>
                <c:pt idx="4">
                  <c:v>1991 </c:v>
                </c:pt>
                <c:pt idx="5">
                  <c:v>1992 </c:v>
                </c:pt>
                <c:pt idx="6">
                  <c:v>1993 </c:v>
                </c:pt>
                <c:pt idx="7">
                  <c:v>1994 </c:v>
                </c:pt>
                <c:pt idx="8">
                  <c:v>1995 </c:v>
                </c:pt>
                <c:pt idx="9">
                  <c:v>1996 </c:v>
                </c:pt>
                <c:pt idx="10">
                  <c:v>1997 </c:v>
                </c:pt>
                <c:pt idx="11">
                  <c:v>1998 </c:v>
                </c:pt>
                <c:pt idx="12">
                  <c:v>1999 </c:v>
                </c:pt>
                <c:pt idx="13">
                  <c:v>2000 </c:v>
                </c:pt>
                <c:pt idx="14">
                  <c:v>2001 </c:v>
                </c:pt>
                <c:pt idx="15">
                  <c:v>2002 </c:v>
                </c:pt>
                <c:pt idx="16">
                  <c:v>2003 </c:v>
                </c:pt>
                <c:pt idx="17">
                  <c:v>2004 </c:v>
                </c:pt>
                <c:pt idx="18">
                  <c:v>2005 </c:v>
                </c:pt>
                <c:pt idx="19">
                  <c:v>2006 </c:v>
                </c:pt>
                <c:pt idx="20">
                  <c:v>2007 </c:v>
                </c:pt>
                <c:pt idx="21">
                  <c:v>2008 </c:v>
                </c:pt>
                <c:pt idx="22">
                  <c:v>2009 </c:v>
                </c:pt>
                <c:pt idx="23">
                  <c:v>2010 </c:v>
                </c:pt>
                <c:pt idx="24">
                  <c:v>2011 </c:v>
                </c:pt>
                <c:pt idx="25">
                  <c:v>2012 </c:v>
                </c:pt>
                <c:pt idx="26">
                  <c:v>2013 </c:v>
                </c:pt>
                <c:pt idx="27">
                  <c:v>2014 </c:v>
                </c:pt>
                <c:pt idx="28">
                  <c:v>2015 </c:v>
                </c:pt>
                <c:pt idx="29">
                  <c:v>2016 </c:v>
                </c:pt>
                <c:pt idx="30">
                  <c:v>2017 </c:v>
                </c:pt>
                <c:pt idx="31">
                  <c:v>2018 </c:v>
                </c:pt>
                <c:pt idx="32">
                  <c:v>2019 </c:v>
                </c:pt>
                <c:pt idx="33">
                  <c:v>2020 </c:v>
                </c:pt>
                <c:pt idx="34">
                  <c:v>2021 </c:v>
                </c:pt>
                <c:pt idx="35">
                  <c:v>2022 </c:v>
                </c:pt>
                <c:pt idx="36">
                  <c:v>2023</c:v>
                </c:pt>
              </c:strCache>
            </c:strRef>
          </c:cat>
          <c:val>
            <c:numRef>
              <c:f>Activite!$N$7:$N$43</c:f>
              <c:numCache>
                <c:formatCode>0.00%</c:formatCode>
                <c:ptCount val="37"/>
                <c:pt idx="0">
                  <c:v>1</c:v>
                </c:pt>
                <c:pt idx="1">
                  <c:v>1.0307941653160453</c:v>
                </c:pt>
                <c:pt idx="2">
                  <c:v>1.0243111831442464</c:v>
                </c:pt>
                <c:pt idx="3">
                  <c:v>1.0243111831442464</c:v>
                </c:pt>
                <c:pt idx="4">
                  <c:v>1.059967585089141</c:v>
                </c:pt>
                <c:pt idx="5">
                  <c:v>1.0502431118314424</c:v>
                </c:pt>
                <c:pt idx="6">
                  <c:v>1.0923824959481361</c:v>
                </c:pt>
                <c:pt idx="7">
                  <c:v>1.1069692058346838</c:v>
                </c:pt>
                <c:pt idx="8">
                  <c:v>1.1166936790923825</c:v>
                </c:pt>
                <c:pt idx="9">
                  <c:v>1.1069692058346838</c:v>
                </c:pt>
                <c:pt idx="10">
                  <c:v>1.1345218800648298</c:v>
                </c:pt>
                <c:pt idx="11">
                  <c:v>1.1183144246353323</c:v>
                </c:pt>
                <c:pt idx="12">
                  <c:v>1.1199351701782818</c:v>
                </c:pt>
                <c:pt idx="13">
                  <c:v>1.0875202593192868</c:v>
                </c:pt>
                <c:pt idx="14">
                  <c:v>1.0777957860615883</c:v>
                </c:pt>
                <c:pt idx="15">
                  <c:v>1.0551053484602917</c:v>
                </c:pt>
                <c:pt idx="16">
                  <c:v>1.0615883306320908</c:v>
                </c:pt>
                <c:pt idx="17">
                  <c:v>1.0923824959481361</c:v>
                </c:pt>
                <c:pt idx="18">
                  <c:v>1.072933549432739</c:v>
                </c:pt>
                <c:pt idx="19">
                  <c:v>1.0826580226904374</c:v>
                </c:pt>
                <c:pt idx="20">
                  <c:v>1.0940032414910859</c:v>
                </c:pt>
                <c:pt idx="21">
                  <c:v>1.0810372771474879</c:v>
                </c:pt>
                <c:pt idx="22">
                  <c:v>1.072933549432739</c:v>
                </c:pt>
                <c:pt idx="23">
                  <c:v>1.100486223662885</c:v>
                </c:pt>
                <c:pt idx="24">
                  <c:v>1.072933549432739</c:v>
                </c:pt>
                <c:pt idx="25">
                  <c:v>1.0826580226904374</c:v>
                </c:pt>
                <c:pt idx="26">
                  <c:v>1.0956239870340354</c:v>
                </c:pt>
                <c:pt idx="27">
                  <c:v>1.0794165316045379</c:v>
                </c:pt>
                <c:pt idx="28">
                  <c:v>1.0777957860615883</c:v>
                </c:pt>
                <c:pt idx="29">
                  <c:v>1.1085899513776338</c:v>
                </c:pt>
                <c:pt idx="30">
                  <c:v>1.1264181523500809</c:v>
                </c:pt>
                <c:pt idx="31">
                  <c:v>1.1507293354943273</c:v>
                </c:pt>
                <c:pt idx="32">
                  <c:v>1.1572123176661264</c:v>
                </c:pt>
                <c:pt idx="33">
                  <c:v>1.1782820097244733</c:v>
                </c:pt>
                <c:pt idx="34">
                  <c:v>1.1215559157212318</c:v>
                </c:pt>
                <c:pt idx="35">
                  <c:v>1.1896272285251215</c:v>
                </c:pt>
                <c:pt idx="36">
                  <c:v>1.2269043760129659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F5-2742-BFF9-162667D49C75}"/>
            </c:ext>
          </c:extLst>
        </c:ser>
        <c:ser>
          <c:idx val="3"/>
          <c:order val="3"/>
          <c:tx>
            <c:strRef>
              <c:f>Activite!$O$4:$O$6</c:f>
              <c:strCache>
                <c:ptCount val="3"/>
                <c:pt idx="0">
                  <c:v>Indices du taux d'activité</c:v>
                </c:pt>
                <c:pt idx="2">
                  <c:v>CB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Activite!$C$7:$C$43</c:f>
              <c:strCache>
                <c:ptCount val="37"/>
                <c:pt idx="0">
                  <c:v>1987 </c:v>
                </c:pt>
                <c:pt idx="1">
                  <c:v>1988 </c:v>
                </c:pt>
                <c:pt idx="2">
                  <c:v>1989 </c:v>
                </c:pt>
                <c:pt idx="3">
                  <c:v>1990 </c:v>
                </c:pt>
                <c:pt idx="4">
                  <c:v>1991 </c:v>
                </c:pt>
                <c:pt idx="5">
                  <c:v>1992 </c:v>
                </c:pt>
                <c:pt idx="6">
                  <c:v>1993 </c:v>
                </c:pt>
                <c:pt idx="7">
                  <c:v>1994 </c:v>
                </c:pt>
                <c:pt idx="8">
                  <c:v>1995 </c:v>
                </c:pt>
                <c:pt idx="9">
                  <c:v>1996 </c:v>
                </c:pt>
                <c:pt idx="10">
                  <c:v>1997 </c:v>
                </c:pt>
                <c:pt idx="11">
                  <c:v>1998 </c:v>
                </c:pt>
                <c:pt idx="12">
                  <c:v>1999 </c:v>
                </c:pt>
                <c:pt idx="13">
                  <c:v>2000 </c:v>
                </c:pt>
                <c:pt idx="14">
                  <c:v>2001 </c:v>
                </c:pt>
                <c:pt idx="15">
                  <c:v>2002 </c:v>
                </c:pt>
                <c:pt idx="16">
                  <c:v>2003 </c:v>
                </c:pt>
                <c:pt idx="17">
                  <c:v>2004 </c:v>
                </c:pt>
                <c:pt idx="18">
                  <c:v>2005 </c:v>
                </c:pt>
                <c:pt idx="19">
                  <c:v>2006 </c:v>
                </c:pt>
                <c:pt idx="20">
                  <c:v>2007 </c:v>
                </c:pt>
                <c:pt idx="21">
                  <c:v>2008 </c:v>
                </c:pt>
                <c:pt idx="22">
                  <c:v>2009 </c:v>
                </c:pt>
                <c:pt idx="23">
                  <c:v>2010 </c:v>
                </c:pt>
                <c:pt idx="24">
                  <c:v>2011 </c:v>
                </c:pt>
                <c:pt idx="25">
                  <c:v>2012 </c:v>
                </c:pt>
                <c:pt idx="26">
                  <c:v>2013 </c:v>
                </c:pt>
                <c:pt idx="27">
                  <c:v>2014 </c:v>
                </c:pt>
                <c:pt idx="28">
                  <c:v>2015 </c:v>
                </c:pt>
                <c:pt idx="29">
                  <c:v>2016 </c:v>
                </c:pt>
                <c:pt idx="30">
                  <c:v>2017 </c:v>
                </c:pt>
                <c:pt idx="31">
                  <c:v>2018 </c:v>
                </c:pt>
                <c:pt idx="32">
                  <c:v>2019 </c:v>
                </c:pt>
                <c:pt idx="33">
                  <c:v>2020 </c:v>
                </c:pt>
                <c:pt idx="34">
                  <c:v>2021 </c:v>
                </c:pt>
                <c:pt idx="35">
                  <c:v>2022 </c:v>
                </c:pt>
                <c:pt idx="36">
                  <c:v>2023</c:v>
                </c:pt>
              </c:strCache>
            </c:strRef>
          </c:cat>
          <c:val>
            <c:numRef>
              <c:f>Activite!$O$7:$O$43</c:f>
              <c:numCache>
                <c:formatCode>0.00%</c:formatCode>
                <c:ptCount val="37"/>
                <c:pt idx="0">
                  <c:v>1</c:v>
                </c:pt>
                <c:pt idx="1">
                  <c:v>1.0310344827586206</c:v>
                </c:pt>
                <c:pt idx="2">
                  <c:v>1.0465517241379312</c:v>
                </c:pt>
                <c:pt idx="3">
                  <c:v>1.039655172413793</c:v>
                </c:pt>
                <c:pt idx="4">
                  <c:v>1.103448275862069</c:v>
                </c:pt>
                <c:pt idx="5">
                  <c:v>1.0999999999999999</c:v>
                </c:pt>
                <c:pt idx="6">
                  <c:v>1.0879310344827586</c:v>
                </c:pt>
                <c:pt idx="7">
                  <c:v>1.1103448275862069</c:v>
                </c:pt>
                <c:pt idx="8">
                  <c:v>1.0879310344827586</c:v>
                </c:pt>
                <c:pt idx="9">
                  <c:v>1.146551724137931</c:v>
                </c:pt>
                <c:pt idx="10">
                  <c:v>1.1500000000000001</c:v>
                </c:pt>
                <c:pt idx="11">
                  <c:v>1.1448275862068966</c:v>
                </c:pt>
                <c:pt idx="12">
                  <c:v>1.1862068965517241</c:v>
                </c:pt>
                <c:pt idx="13">
                  <c:v>1.1603448275862069</c:v>
                </c:pt>
                <c:pt idx="14">
                  <c:v>1.1551724137931034</c:v>
                </c:pt>
                <c:pt idx="15">
                  <c:v>1.1758620689655173</c:v>
                </c:pt>
                <c:pt idx="16">
                  <c:v>1.2275862068965517</c:v>
                </c:pt>
                <c:pt idx="17">
                  <c:v>1.2155172413793103</c:v>
                </c:pt>
                <c:pt idx="18">
                  <c:v>1.2120689655172414</c:v>
                </c:pt>
                <c:pt idx="19">
                  <c:v>1.2258620689655171</c:v>
                </c:pt>
                <c:pt idx="20">
                  <c:v>1.1758620689655173</c:v>
                </c:pt>
                <c:pt idx="21">
                  <c:v>1.2137931034482761</c:v>
                </c:pt>
                <c:pt idx="22">
                  <c:v>1.2137931034482761</c:v>
                </c:pt>
                <c:pt idx="23">
                  <c:v>1.2034482758620688</c:v>
                </c:pt>
                <c:pt idx="24">
                  <c:v>1.1879310344827587</c:v>
                </c:pt>
                <c:pt idx="25">
                  <c:v>1.2</c:v>
                </c:pt>
                <c:pt idx="26">
                  <c:v>1.25</c:v>
                </c:pt>
                <c:pt idx="27">
                  <c:v>1.2620689655172415</c:v>
                </c:pt>
                <c:pt idx="28">
                  <c:v>1.2327586206896552</c:v>
                </c:pt>
                <c:pt idx="29">
                  <c:v>1.2379310344827585</c:v>
                </c:pt>
                <c:pt idx="30">
                  <c:v>1.2672413793103448</c:v>
                </c:pt>
                <c:pt idx="31">
                  <c:v>1.2344827586206895</c:v>
                </c:pt>
                <c:pt idx="32">
                  <c:v>1.3120689655172413</c:v>
                </c:pt>
                <c:pt idx="33">
                  <c:v>1.2689655172413792</c:v>
                </c:pt>
                <c:pt idx="34">
                  <c:v>1.3</c:v>
                </c:pt>
                <c:pt idx="35">
                  <c:v>1.3362068965517242</c:v>
                </c:pt>
                <c:pt idx="36">
                  <c:v>1.3586206896551725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F5-2742-BFF9-162667D49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7617743"/>
        <c:axId val="1737614575"/>
      </c:barChart>
      <c:catAx>
        <c:axId val="173761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614575"/>
        <c:crosses val="autoZero"/>
        <c:auto val="1"/>
        <c:lblAlgn val="ctr"/>
        <c:lblOffset val="100"/>
        <c:noMultiLvlLbl val="0"/>
      </c:catAx>
      <c:valAx>
        <c:axId val="1737614575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61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'scolarité 2'!$H$15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'scolarité 2'!$G$16:$G$23</c:f>
              <c:strCache>
                <c:ptCount val="8"/>
                <c:pt idx="1">
                  <c:v>Total, tous les niveaux de scolarité</c:v>
                </c:pt>
                <c:pt idx="2">
                  <c:v>Sans grade, certificat ou diplôme</c:v>
                </c:pt>
                <c:pt idx="3">
                  <c:v>Études secondaires complétées</c:v>
                </c:pt>
                <c:pt idx="4">
                  <c:v>Études secondaires complétées, études postsecondaires partielles</c:v>
                </c:pt>
                <c:pt idx="5">
                  <c:v>Certificat ou diplôme d'études postsecondaires</c:v>
                </c:pt>
                <c:pt idx="6">
                  <c:v>Baccalauréat</c:v>
                </c:pt>
                <c:pt idx="7">
                  <c:v>Diplôme ou certificat universitaire supérieur au baccalauréat</c:v>
                </c:pt>
              </c:strCache>
            </c:strRef>
          </c:cat>
          <c:val>
            <c:numRef>
              <c:f>'scolarité 2'!$H$16:$H$23</c:f>
              <c:numCache>
                <c:formatCode>0.0</c:formatCode>
                <c:ptCount val="8"/>
                <c:pt idx="1">
                  <c:v>5.4</c:v>
                </c:pt>
                <c:pt idx="2">
                  <c:v>11.3</c:v>
                </c:pt>
                <c:pt idx="3">
                  <c:v>6.9</c:v>
                </c:pt>
                <c:pt idx="4">
                  <c:v>6.9</c:v>
                </c:pt>
                <c:pt idx="5">
                  <c:v>4.3</c:v>
                </c:pt>
                <c:pt idx="6">
                  <c:v>4.3</c:v>
                </c:pt>
                <c:pt idx="7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5-BA49-8C12-0BA5D3D40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325871"/>
        <c:axId val="1641507791"/>
      </c:barChart>
      <c:catAx>
        <c:axId val="163632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507791"/>
        <c:crosses val="autoZero"/>
        <c:auto val="1"/>
        <c:lblAlgn val="ctr"/>
        <c:lblOffset val="100"/>
        <c:noMultiLvlLbl val="0"/>
      </c:catAx>
      <c:valAx>
        <c:axId val="164150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32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582083</xdr:colOff>
      <xdr:row>15</xdr:row>
      <xdr:rowOff>4233</xdr:rowOff>
    </xdr:from>
    <xdr:to>
      <xdr:col>17</xdr:col>
      <xdr:colOff>74083</xdr:colOff>
      <xdr:row>25</xdr:row>
      <xdr:rowOff>359833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E52ACE-E346-3C19-29AF-6ECC5442F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279400</xdr:colOff>
      <xdr:row>0</xdr:row>
      <xdr:rowOff>177800</xdr:rowOff>
    </xdr:from>
    <xdr:to>
      <xdr:col>30</xdr:col>
      <xdr:colOff>711200</xdr:colOff>
      <xdr:row>78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D4A6E-2541-B342-A2DB-D42A2E1BA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155965</xdr:colOff>
      <xdr:row>0</xdr:row>
      <xdr:rowOff>178246</xdr:rowOff>
    </xdr:from>
    <xdr:to>
      <xdr:col>72</xdr:col>
      <xdr:colOff>467895</xdr:colOff>
      <xdr:row>65</xdr:row>
      <xdr:rowOff>159084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425DEF78-BC16-E23E-EB15-2021E886D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508000</xdr:colOff>
      <xdr:row>57</xdr:row>
      <xdr:rowOff>12700</xdr:rowOff>
    </xdr:from>
    <xdr:to>
      <xdr:col>23</xdr:col>
      <xdr:colOff>558800</xdr:colOff>
      <xdr:row>105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E541D9-34FD-2D34-D2A1-1524EA038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42</xdr:row>
      <xdr:rowOff>12700</xdr:rowOff>
    </xdr:from>
    <xdr:to>
      <xdr:col>22</xdr:col>
      <xdr:colOff>88900</xdr:colOff>
      <xdr:row>103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5AA9CFD-9D14-B558-D67F-7CC8E0B12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3</xdr:row>
      <xdr:rowOff>165100</xdr:rowOff>
    </xdr:from>
    <xdr:to>
      <xdr:col>19</xdr:col>
      <xdr:colOff>12700</xdr:colOff>
      <xdr:row>39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E8820-E45C-E067-21C7-4DB73C614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1875-8F05-2843-9899-956727D960B2}">
  <dimension ref="B7:J20"/>
  <sheetViews>
    <sheetView topLeftCell="A24" zoomScale="140" zoomScaleNormal="140" workbookViewId="0">
      <selection activeCell="I17" sqref="I17"/>
    </sheetView>
  </sheetViews>
  <sheetFormatPr baseColWidth="10" defaultRowHeight="16" x14ac:dyDescent="0.2"/>
  <cols>
    <col min="2" max="2" width="17.33203125" customWidth="1"/>
    <col min="3" max="4" width="12.5" customWidth="1"/>
    <col min="5" max="6" width="13.5" customWidth="1"/>
  </cols>
  <sheetData>
    <row r="7" spans="2:10" ht="27" customHeight="1" x14ac:dyDescent="0.2">
      <c r="B7" s="67" t="s">
        <v>10</v>
      </c>
      <c r="C7" s="68" t="s">
        <v>11</v>
      </c>
      <c r="D7" s="69"/>
      <c r="E7" s="68" t="s">
        <v>12</v>
      </c>
      <c r="F7" s="70"/>
    </row>
    <row r="8" spans="2:10" ht="34" x14ac:dyDescent="0.2">
      <c r="B8" s="67"/>
      <c r="C8" s="4" t="s">
        <v>13</v>
      </c>
      <c r="D8" s="5" t="s">
        <v>14</v>
      </c>
      <c r="E8" s="4" t="s">
        <v>13</v>
      </c>
      <c r="F8" s="6" t="s">
        <v>14</v>
      </c>
    </row>
    <row r="10" spans="2:10" s="2" customFormat="1" ht="21" customHeight="1" x14ac:dyDescent="0.2">
      <c r="B10" s="7" t="s">
        <v>1</v>
      </c>
      <c r="C10" s="7">
        <v>6</v>
      </c>
      <c r="D10" s="7">
        <v>10</v>
      </c>
      <c r="E10" s="7">
        <v>50</v>
      </c>
      <c r="F10" s="7">
        <v>56</v>
      </c>
      <c r="J10" s="8"/>
    </row>
    <row r="11" spans="2:10" s="2" customFormat="1" ht="21" customHeight="1" x14ac:dyDescent="0.2">
      <c r="B11" s="7" t="s">
        <v>2</v>
      </c>
      <c r="C11" s="7">
        <v>2</v>
      </c>
      <c r="D11" s="7">
        <v>2</v>
      </c>
      <c r="E11" s="7">
        <v>100</v>
      </c>
      <c r="F11" s="7">
        <v>120</v>
      </c>
    </row>
    <row r="12" spans="2:10" s="2" customFormat="1" ht="21" customHeight="1" x14ac:dyDescent="0.2">
      <c r="B12" s="7" t="s">
        <v>0</v>
      </c>
      <c r="C12" s="7">
        <v>4</v>
      </c>
      <c r="D12" s="7">
        <v>6</v>
      </c>
      <c r="E12" s="7">
        <v>60</v>
      </c>
      <c r="F12" s="7">
        <v>60</v>
      </c>
    </row>
    <row r="13" spans="2:10" s="2" customFormat="1" ht="21" customHeight="1" x14ac:dyDescent="0.2">
      <c r="B13" s="7" t="s">
        <v>3</v>
      </c>
      <c r="C13" s="7">
        <v>10</v>
      </c>
      <c r="D13" s="7">
        <v>12</v>
      </c>
      <c r="E13" s="7">
        <v>50</v>
      </c>
      <c r="F13" s="7">
        <v>24</v>
      </c>
    </row>
    <row r="14" spans="2:10" s="2" customFormat="1" ht="21" customHeight="1" x14ac:dyDescent="0.2">
      <c r="B14" s="7" t="s">
        <v>4</v>
      </c>
      <c r="C14" s="7">
        <v>8</v>
      </c>
      <c r="D14" s="7">
        <v>12</v>
      </c>
      <c r="E14" s="7">
        <v>40</v>
      </c>
      <c r="F14" s="7">
        <v>36</v>
      </c>
    </row>
    <row r="15" spans="2:10" x14ac:dyDescent="0.2">
      <c r="B15" s="1"/>
    </row>
    <row r="17" spans="2:6" x14ac:dyDescent="0.2">
      <c r="C17" t="s">
        <v>91</v>
      </c>
      <c r="D17" t="s">
        <v>92</v>
      </c>
      <c r="F17" t="s">
        <v>93</v>
      </c>
    </row>
    <row r="18" spans="2:6" ht="33" customHeight="1" x14ac:dyDescent="0.2">
      <c r="B18" s="2" t="s">
        <v>15</v>
      </c>
      <c r="C18" s="62">
        <f>(D10*E10+D11*E11+D12*E12+D13*E13+D14*E14)/(E10*C10+E11*C11+E12*C12+E13*C13+E14*C14)</f>
        <v>1.3717948717948718</v>
      </c>
      <c r="D18">
        <f>((F10*C10+F11*C11+F12*C12+F13*C13+F14*C14)/(E10*C10+E11*C11+E12*C12+E13*C13+E14*C14))*100</f>
        <v>86.15384615384616</v>
      </c>
      <c r="F18">
        <f>F10*D10+F11*D11+F12*D12+F13*D13+F14*D14</f>
        <v>1880</v>
      </c>
    </row>
    <row r="19" spans="2:6" ht="33" customHeight="1" x14ac:dyDescent="0.2">
      <c r="B19" s="2" t="s">
        <v>16</v>
      </c>
      <c r="C19" s="62">
        <f>(D10*F10+D11*F11+D12*F12+D13*F13+D14*F14)/(C10*F10+C11*F11+C12*F12+C13*F13+C14*F14)</f>
        <v>1.3988095238095237</v>
      </c>
      <c r="D19">
        <f>((F10*D10+F11*D11+F12*D12+F13*D13+F14*D14)/(E10*D10+E11*D11+E12*D12+E13*D13+E14*D14))*100</f>
        <v>87.850467289719631</v>
      </c>
      <c r="F19" t="s">
        <v>94</v>
      </c>
    </row>
    <row r="20" spans="2:6" ht="33" customHeight="1" x14ac:dyDescent="0.2">
      <c r="B20" s="2" t="s">
        <v>17</v>
      </c>
      <c r="C20" s="62">
        <f>SQRT(C19*C18)</f>
        <v>1.3852363449533553</v>
      </c>
      <c r="D20">
        <f>SQRT(D19*D18)</f>
        <v>86.998020916696717</v>
      </c>
      <c r="F20">
        <f>E10*C10+E11*C11+E12*C12+E13*C13+E14*C14</f>
        <v>1560</v>
      </c>
    </row>
  </sheetData>
  <mergeCells count="3">
    <mergeCell ref="B7:B8"/>
    <mergeCell ref="C7:D7"/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CE69-FCE3-D447-B07A-68B423D5442C}">
  <dimension ref="B6:M29"/>
  <sheetViews>
    <sheetView tabSelected="1" topLeftCell="A21" zoomScale="120" zoomScaleNormal="120" workbookViewId="0">
      <selection activeCell="H15" sqref="H15"/>
    </sheetView>
  </sheetViews>
  <sheetFormatPr baseColWidth="10" defaultRowHeight="16" x14ac:dyDescent="0.2"/>
  <cols>
    <col min="7" max="7" width="6.5" customWidth="1"/>
  </cols>
  <sheetData>
    <row r="6" spans="2:13" ht="54" customHeight="1" x14ac:dyDescent="0.2">
      <c r="D6" s="71" t="s">
        <v>9</v>
      </c>
      <c r="E6" s="71"/>
      <c r="F6" s="71"/>
      <c r="G6" s="53"/>
      <c r="H6" s="72" t="s">
        <v>40</v>
      </c>
      <c r="I6" s="72"/>
      <c r="J6" s="72"/>
    </row>
    <row r="7" spans="2:13" ht="24" x14ac:dyDescent="0.3">
      <c r="D7" s="51"/>
      <c r="E7" s="51"/>
      <c r="F7" s="51"/>
      <c r="G7" s="51"/>
      <c r="H7" s="51"/>
      <c r="I7" s="51"/>
      <c r="J7" s="51"/>
    </row>
    <row r="8" spans="2:13" ht="24" x14ac:dyDescent="0.3">
      <c r="D8" s="50" t="s">
        <v>6</v>
      </c>
      <c r="E8" s="50" t="s">
        <v>7</v>
      </c>
      <c r="F8" s="50" t="s">
        <v>8</v>
      </c>
      <c r="G8" s="50"/>
      <c r="H8" s="50" t="s">
        <v>6</v>
      </c>
      <c r="I8" s="50" t="s">
        <v>7</v>
      </c>
      <c r="J8" s="50" t="s">
        <v>8</v>
      </c>
      <c r="M8" s="50"/>
    </row>
    <row r="10" spans="2:13" s="2" customFormat="1" ht="31" customHeight="1" x14ac:dyDescent="0.2">
      <c r="B10" s="2">
        <v>2004</v>
      </c>
      <c r="D10">
        <v>105.7</v>
      </c>
      <c r="E10">
        <v>105.9</v>
      </c>
      <c r="F10">
        <v>103.4</v>
      </c>
      <c r="H10" s="52" t="s">
        <v>39</v>
      </c>
      <c r="I10" s="52" t="s">
        <v>39</v>
      </c>
      <c r="J10" s="52" t="s">
        <v>39</v>
      </c>
    </row>
    <row r="11" spans="2:13" s="2" customFormat="1" ht="33" customHeight="1" x14ac:dyDescent="0.2">
      <c r="B11" s="2">
        <v>2005</v>
      </c>
      <c r="D11">
        <v>108.8</v>
      </c>
      <c r="E11">
        <v>108.6</v>
      </c>
      <c r="F11">
        <v>105.1</v>
      </c>
      <c r="H11" s="3">
        <f>((D11-D10)/D10)</f>
        <v>2.9328287606433249E-2</v>
      </c>
      <c r="I11" s="3">
        <f>((E11-E10)/E10)</f>
        <v>2.5495750708215189E-2</v>
      </c>
      <c r="J11" s="3">
        <f>((F11-F10)/F10)</f>
        <v>1.6441005802707818E-2</v>
      </c>
    </row>
    <row r="12" spans="2:13" s="2" customFormat="1" ht="33" customHeight="1" x14ac:dyDescent="0.2">
      <c r="B12" s="2">
        <v>2006</v>
      </c>
      <c r="D12">
        <v>111.6</v>
      </c>
      <c r="E12">
        <v>111.5</v>
      </c>
      <c r="F12">
        <v>108.2</v>
      </c>
      <c r="H12" s="3">
        <f t="shared" ref="H12:H29" si="0">((D12-D11)/D11)</f>
        <v>2.5735294117647033E-2</v>
      </c>
      <c r="I12" s="3">
        <f t="shared" ref="I12:I29" si="1">((E12-E11)/E11)</f>
        <v>2.670349907918974E-2</v>
      </c>
      <c r="J12" s="3">
        <f t="shared" ref="J12:J29" si="2">((F12-F11)/F11)</f>
        <v>2.9495718363463451E-2</v>
      </c>
    </row>
    <row r="13" spans="2:13" s="2" customFormat="1" ht="33" customHeight="1" x14ac:dyDescent="0.2">
      <c r="B13" s="2">
        <v>2007</v>
      </c>
      <c r="D13">
        <v>115</v>
      </c>
      <c r="E13">
        <v>113.4</v>
      </c>
      <c r="F13">
        <v>111.8</v>
      </c>
      <c r="H13" s="3">
        <f t="shared" si="0"/>
        <v>3.0465949820788582E-2</v>
      </c>
      <c r="I13" s="3">
        <f t="shared" si="1"/>
        <v>1.7040358744394669E-2</v>
      </c>
      <c r="J13" s="3">
        <f t="shared" si="2"/>
        <v>3.3271719038816955E-2</v>
      </c>
    </row>
    <row r="14" spans="2:13" s="2" customFormat="1" ht="33" customHeight="1" x14ac:dyDescent="0.2">
      <c r="B14" s="2">
        <v>2008</v>
      </c>
      <c r="D14">
        <v>119</v>
      </c>
      <c r="E14">
        <v>117.4</v>
      </c>
      <c r="F14">
        <v>115.6</v>
      </c>
      <c r="H14" s="3">
        <f t="shared" si="0"/>
        <v>3.4782608695652174E-2</v>
      </c>
      <c r="I14" s="3">
        <f t="shared" si="1"/>
        <v>3.5273368606701938E-2</v>
      </c>
      <c r="J14" s="3">
        <f t="shared" si="2"/>
        <v>3.3989266547406055E-2</v>
      </c>
    </row>
    <row r="15" spans="2:13" s="2" customFormat="1" ht="33" customHeight="1" x14ac:dyDescent="0.2">
      <c r="B15" s="2">
        <v>2009</v>
      </c>
      <c r="D15">
        <v>119.5</v>
      </c>
      <c r="E15">
        <v>117.5</v>
      </c>
      <c r="F15">
        <v>113.7</v>
      </c>
      <c r="H15" s="3">
        <f t="shared" si="0"/>
        <v>4.2016806722689074E-3</v>
      </c>
      <c r="I15" s="3">
        <f t="shared" si="1"/>
        <v>8.5178875638836722E-4</v>
      </c>
      <c r="J15" s="3">
        <f t="shared" si="2"/>
        <v>-1.6435986159169476E-2</v>
      </c>
    </row>
    <row r="16" spans="2:13" s="2" customFormat="1" ht="33" customHeight="1" x14ac:dyDescent="0.2">
      <c r="B16" s="2">
        <v>2010</v>
      </c>
      <c r="D16">
        <v>120.3</v>
      </c>
      <c r="E16">
        <v>120.3</v>
      </c>
      <c r="F16">
        <v>115.7</v>
      </c>
      <c r="H16" s="3">
        <f t="shared" si="0"/>
        <v>6.6945606694560431E-3</v>
      </c>
      <c r="I16" s="3">
        <f t="shared" si="1"/>
        <v>2.382978723404253E-2</v>
      </c>
      <c r="J16" s="3">
        <f t="shared" si="2"/>
        <v>1.7590149516270887E-2</v>
      </c>
    </row>
    <row r="17" spans="2:10" s="2" customFormat="1" ht="33" customHeight="1" x14ac:dyDescent="0.2">
      <c r="B17" s="2">
        <v>2011</v>
      </c>
      <c r="D17">
        <v>122.3</v>
      </c>
      <c r="E17">
        <v>122.2</v>
      </c>
      <c r="F17">
        <v>117.1</v>
      </c>
      <c r="H17" s="3">
        <f t="shared" si="0"/>
        <v>1.6625103906899419E-2</v>
      </c>
      <c r="I17" s="3">
        <f t="shared" si="1"/>
        <v>1.5793848711554495E-2</v>
      </c>
      <c r="J17" s="3">
        <f t="shared" si="2"/>
        <v>1.2100259291270453E-2</v>
      </c>
    </row>
    <row r="18" spans="2:10" s="2" customFormat="1" ht="33" customHeight="1" x14ac:dyDescent="0.2">
      <c r="B18" s="2">
        <v>2012</v>
      </c>
      <c r="D18">
        <v>124</v>
      </c>
      <c r="E18">
        <v>124.6</v>
      </c>
      <c r="F18">
        <v>117.5</v>
      </c>
      <c r="H18" s="3">
        <f t="shared" si="0"/>
        <v>1.3900245298446468E-2</v>
      </c>
      <c r="I18" s="3">
        <f t="shared" si="1"/>
        <v>1.9639934533551485E-2</v>
      </c>
      <c r="J18" s="3">
        <f t="shared" si="2"/>
        <v>3.4158838599488103E-3</v>
      </c>
    </row>
    <row r="19" spans="2:10" s="2" customFormat="1" ht="33" customHeight="1" x14ac:dyDescent="0.2">
      <c r="B19" s="2">
        <v>2013</v>
      </c>
      <c r="D19">
        <v>125.2</v>
      </c>
      <c r="E19">
        <v>126.7</v>
      </c>
      <c r="F19">
        <v>116.9</v>
      </c>
      <c r="H19" s="3">
        <f t="shared" si="0"/>
        <v>9.6774193548387327E-3</v>
      </c>
      <c r="I19" s="3">
        <f t="shared" si="1"/>
        <v>1.6853932584269732E-2</v>
      </c>
      <c r="J19" s="3">
        <f t="shared" si="2"/>
        <v>-5.1063829787233563E-3</v>
      </c>
    </row>
    <row r="20" spans="2:10" s="2" customFormat="1" ht="33" customHeight="1" x14ac:dyDescent="0.2">
      <c r="B20" s="2">
        <v>2014</v>
      </c>
      <c r="D20">
        <v>126.9</v>
      </c>
      <c r="E20">
        <v>131.69999999999999</v>
      </c>
      <c r="F20">
        <v>117.7</v>
      </c>
      <c r="H20" s="3">
        <f t="shared" si="0"/>
        <v>1.3578274760383409E-2</v>
      </c>
      <c r="I20" s="3">
        <f t="shared" si="1"/>
        <v>3.9463299131807308E-2</v>
      </c>
      <c r="J20" s="3">
        <f t="shared" si="2"/>
        <v>6.8434559452523278E-3</v>
      </c>
    </row>
    <row r="21" spans="2:10" s="2" customFormat="1" ht="33" customHeight="1" x14ac:dyDescent="0.2">
      <c r="B21" s="2">
        <v>2015</v>
      </c>
      <c r="D21">
        <v>127.5</v>
      </c>
      <c r="E21">
        <v>135.30000000000001</v>
      </c>
      <c r="F21">
        <v>118</v>
      </c>
      <c r="H21" s="3">
        <f t="shared" si="0"/>
        <v>4.7281323877068106E-3</v>
      </c>
      <c r="I21" s="3">
        <f t="shared" si="1"/>
        <v>2.7334851936218853E-2</v>
      </c>
      <c r="J21" s="3">
        <f t="shared" si="2"/>
        <v>2.5488530161427115E-3</v>
      </c>
    </row>
    <row r="22" spans="2:10" s="2" customFormat="1" ht="33" customHeight="1" x14ac:dyDescent="0.2">
      <c r="B22" s="2">
        <v>2016</v>
      </c>
      <c r="D22">
        <v>128.69999999999999</v>
      </c>
      <c r="E22">
        <v>139.80000000000001</v>
      </c>
      <c r="F22">
        <v>120.1</v>
      </c>
      <c r="H22" s="3">
        <f t="shared" si="0"/>
        <v>9.4117647058822636E-3</v>
      </c>
      <c r="I22" s="3">
        <f t="shared" si="1"/>
        <v>3.325942350332594E-2</v>
      </c>
      <c r="J22" s="3">
        <f t="shared" si="2"/>
        <v>1.7796610169491477E-2</v>
      </c>
    </row>
    <row r="23" spans="2:10" s="2" customFormat="1" ht="33" customHeight="1" x14ac:dyDescent="0.2">
      <c r="B23" s="2">
        <v>2017</v>
      </c>
      <c r="D23">
        <v>129.9</v>
      </c>
      <c r="E23">
        <v>143.19999999999999</v>
      </c>
      <c r="F23">
        <v>123.7</v>
      </c>
      <c r="H23" s="3">
        <f t="shared" si="0"/>
        <v>9.3240093240094576E-3</v>
      </c>
      <c r="I23" s="3">
        <f t="shared" si="1"/>
        <v>2.4320457796852483E-2</v>
      </c>
      <c r="J23" s="3">
        <f t="shared" si="2"/>
        <v>2.9975020815986752E-2</v>
      </c>
    </row>
    <row r="24" spans="2:10" s="2" customFormat="1" ht="33" customHeight="1" x14ac:dyDescent="0.2">
      <c r="B24" s="2">
        <v>2018</v>
      </c>
      <c r="D24">
        <v>132.1</v>
      </c>
      <c r="E24">
        <v>145.69999999999999</v>
      </c>
      <c r="F24">
        <v>128.6</v>
      </c>
      <c r="H24" s="3">
        <f t="shared" si="0"/>
        <v>1.693610469591985E-2</v>
      </c>
      <c r="I24" s="3">
        <f t="shared" si="1"/>
        <v>1.745810055865922E-2</v>
      </c>
      <c r="J24" s="3">
        <f t="shared" si="2"/>
        <v>3.9611964430072685E-2</v>
      </c>
    </row>
    <row r="25" spans="2:10" s="2" customFormat="1" ht="33" customHeight="1" x14ac:dyDescent="0.2">
      <c r="B25" s="2">
        <v>2019</v>
      </c>
      <c r="D25">
        <v>135.80000000000001</v>
      </c>
      <c r="E25">
        <v>149.9</v>
      </c>
      <c r="F25">
        <v>131.6</v>
      </c>
      <c r="H25" s="3">
        <f t="shared" si="0"/>
        <v>2.8009084027252211E-2</v>
      </c>
      <c r="I25" s="3">
        <f t="shared" si="1"/>
        <v>2.8826355525051594E-2</v>
      </c>
      <c r="J25" s="3">
        <f t="shared" si="2"/>
        <v>2.3328149300155521E-2</v>
      </c>
    </row>
    <row r="26" spans="2:10" s="2" customFormat="1" ht="33" customHeight="1" x14ac:dyDescent="0.2">
      <c r="B26" s="2">
        <v>2020</v>
      </c>
      <c r="D26">
        <v>139.1</v>
      </c>
      <c r="E26">
        <v>151.9</v>
      </c>
      <c r="F26">
        <v>133</v>
      </c>
      <c r="H26" s="3">
        <f t="shared" si="0"/>
        <v>2.4300441826214894E-2</v>
      </c>
      <c r="I26" s="3">
        <f t="shared" si="1"/>
        <v>1.33422281521014E-2</v>
      </c>
      <c r="J26" s="3">
        <f t="shared" si="2"/>
        <v>1.0638297872340469E-2</v>
      </c>
    </row>
    <row r="27" spans="2:10" s="2" customFormat="1" ht="33" customHeight="1" x14ac:dyDescent="0.2">
      <c r="B27" s="2">
        <v>2021</v>
      </c>
      <c r="D27">
        <v>145.6</v>
      </c>
      <c r="E27">
        <v>156.30000000000001</v>
      </c>
      <c r="F27">
        <v>138.80000000000001</v>
      </c>
      <c r="H27" s="3">
        <f t="shared" si="0"/>
        <v>4.6728971962616828E-2</v>
      </c>
      <c r="I27" s="3">
        <f t="shared" si="1"/>
        <v>2.8966425279789373E-2</v>
      </c>
      <c r="J27" s="3">
        <f t="shared" si="2"/>
        <v>4.3609022556391062E-2</v>
      </c>
    </row>
    <row r="28" spans="2:10" s="2" customFormat="1" ht="33" customHeight="1" x14ac:dyDescent="0.2">
      <c r="B28" s="2">
        <v>2022</v>
      </c>
      <c r="D28">
        <v>155.80000000000001</v>
      </c>
      <c r="E28">
        <v>166.6</v>
      </c>
      <c r="F28">
        <v>149</v>
      </c>
      <c r="H28" s="3">
        <f t="shared" si="0"/>
        <v>7.0054945054945181E-2</v>
      </c>
      <c r="I28" s="3">
        <f t="shared" si="1"/>
        <v>6.5898912348048511E-2</v>
      </c>
      <c r="J28" s="3">
        <f t="shared" si="2"/>
        <v>7.34870317002881E-2</v>
      </c>
    </row>
    <row r="29" spans="2:10" ht="33" customHeight="1" x14ac:dyDescent="0.2">
      <c r="B29" s="2">
        <v>2023</v>
      </c>
      <c r="D29">
        <v>167.5</v>
      </c>
      <c r="E29">
        <v>176.9</v>
      </c>
      <c r="F29">
        <v>158.19999999999999</v>
      </c>
      <c r="H29" s="3">
        <f t="shared" si="0"/>
        <v>7.5096277278562176E-2</v>
      </c>
      <c r="I29" s="3">
        <f t="shared" si="1"/>
        <v>6.1824729891956851E-2</v>
      </c>
      <c r="J29" s="3">
        <f t="shared" si="2"/>
        <v>6.1744966442952944E-2</v>
      </c>
    </row>
  </sheetData>
  <mergeCells count="2">
    <mergeCell ref="D6:F6"/>
    <mergeCell ref="H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986A-BA58-D84E-A4C2-F0F54AFB7215}">
  <dimension ref="A1"/>
  <sheetViews>
    <sheetView zoomScale="50" workbookViewId="0">
      <selection activeCell="O27" sqref="O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664D-A6E6-C544-B486-5030B63BBAE7}">
  <dimension ref="A1:AF211"/>
  <sheetViews>
    <sheetView topLeftCell="B1" zoomScale="50" zoomScaleNormal="100" workbookViewId="0">
      <pane ySplit="3" topLeftCell="A4" activePane="bottomLeft" state="frozen"/>
      <selection pane="bottomLeft" activeCell="S39" sqref="S39"/>
    </sheetView>
  </sheetViews>
  <sheetFormatPr baseColWidth="10" defaultRowHeight="16" x14ac:dyDescent="0.2"/>
  <cols>
    <col min="2" max="2" width="18.1640625" customWidth="1"/>
    <col min="4" max="4" width="35" customWidth="1"/>
    <col min="5" max="16" width="20.6640625" customWidth="1"/>
    <col min="17" max="17" width="11" bestFit="1" customWidth="1"/>
    <col min="18" max="30" width="17.5" customWidth="1"/>
  </cols>
  <sheetData>
    <row r="1" spans="1:32" ht="28" x14ac:dyDescent="0.4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 ht="28" x14ac:dyDescent="0.4">
      <c r="A2" s="9"/>
      <c r="B2" s="9"/>
      <c r="C2" s="9"/>
      <c r="D2" s="9"/>
      <c r="E2" s="65" t="s">
        <v>18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9"/>
      <c r="R2" s="66" t="s">
        <v>19</v>
      </c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10"/>
      <c r="AE2" s="9"/>
      <c r="AF2" s="9"/>
    </row>
    <row r="3" spans="1:32" ht="145" x14ac:dyDescent="0.2">
      <c r="A3" s="11"/>
      <c r="B3" s="11"/>
      <c r="C3" s="11"/>
      <c r="D3" s="12"/>
      <c r="E3" s="13" t="s">
        <v>20</v>
      </c>
      <c r="F3" s="13" t="s">
        <v>21</v>
      </c>
      <c r="G3" s="13" t="s">
        <v>22</v>
      </c>
      <c r="H3" s="13" t="s">
        <v>23</v>
      </c>
      <c r="I3" s="13" t="s">
        <v>24</v>
      </c>
      <c r="J3" s="13" t="s">
        <v>25</v>
      </c>
      <c r="K3" s="13" t="s">
        <v>26</v>
      </c>
      <c r="L3" s="13" t="s">
        <v>27</v>
      </c>
      <c r="M3" s="13" t="s">
        <v>28</v>
      </c>
      <c r="N3" s="13" t="s">
        <v>29</v>
      </c>
      <c r="O3" s="13" t="s">
        <v>30</v>
      </c>
      <c r="P3" s="14" t="s">
        <v>31</v>
      </c>
      <c r="Q3" s="14"/>
      <c r="R3" s="13" t="s">
        <v>20</v>
      </c>
      <c r="S3" s="13" t="s">
        <v>21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32</v>
      </c>
      <c r="Z3" s="13" t="s">
        <v>28</v>
      </c>
      <c r="AA3" s="13" t="s">
        <v>29</v>
      </c>
      <c r="AB3" s="13" t="s">
        <v>33</v>
      </c>
      <c r="AC3" s="13" t="s">
        <v>95</v>
      </c>
      <c r="AD3" s="15" t="s">
        <v>5</v>
      </c>
      <c r="AE3" s="11"/>
      <c r="AF3" s="11"/>
    </row>
    <row r="4" spans="1:32" ht="50" customHeight="1" x14ac:dyDescent="0.4">
      <c r="A4" s="9"/>
      <c r="B4" s="16" t="s">
        <v>34</v>
      </c>
      <c r="C4" s="16"/>
      <c r="D4" s="17"/>
      <c r="E4" s="18">
        <v>0.1104</v>
      </c>
      <c r="F4" s="18">
        <v>5.6099999999999997E-2</v>
      </c>
      <c r="G4" s="18">
        <v>0.28339999999999999</v>
      </c>
      <c r="H4" s="18">
        <v>0.14360000000000001</v>
      </c>
      <c r="I4" s="18">
        <v>4.7300000000000002E-2</v>
      </c>
      <c r="J4" s="18">
        <v>0.16439999999999999</v>
      </c>
      <c r="K4" s="18">
        <v>5.0299999999999997E-2</v>
      </c>
      <c r="L4" s="18">
        <v>8.7999999999999995E-2</v>
      </c>
      <c r="M4" s="18">
        <v>1.01E-2</v>
      </c>
      <c r="N4" s="17">
        <v>1.1000000000000001E-3</v>
      </c>
      <c r="O4" s="18">
        <v>4.53E-2</v>
      </c>
      <c r="P4" s="19">
        <v>1</v>
      </c>
      <c r="Q4" s="17"/>
      <c r="R4" s="49">
        <v>8.2000000000000003E-2</v>
      </c>
      <c r="S4" s="49">
        <v>0.06</v>
      </c>
      <c r="T4" s="49">
        <v>0.22900000000000001</v>
      </c>
      <c r="U4" s="49">
        <v>0.06</v>
      </c>
      <c r="V4" s="49">
        <v>0.04</v>
      </c>
      <c r="W4" s="49">
        <v>6.5000000000000002E-2</v>
      </c>
      <c r="X4" s="49">
        <v>1.4E-2</v>
      </c>
      <c r="Y4" s="49">
        <v>0.03</v>
      </c>
      <c r="Z4" s="49">
        <v>0.39300000000000002</v>
      </c>
      <c r="AA4" s="49">
        <v>1.7000000000000001E-2</v>
      </c>
      <c r="AB4" s="49">
        <v>0.01</v>
      </c>
      <c r="AC4" s="48">
        <v>1</v>
      </c>
      <c r="AD4" s="9"/>
      <c r="AE4" s="9"/>
      <c r="AF4" s="9"/>
    </row>
    <row r="5" spans="1:32" s="2" customFormat="1" ht="47" customHeight="1" x14ac:dyDescent="0.4">
      <c r="A5" s="9"/>
      <c r="B5" s="16"/>
      <c r="C5" s="16"/>
      <c r="D5" s="17"/>
      <c r="E5" s="18"/>
      <c r="F5" s="18"/>
      <c r="G5" s="18"/>
      <c r="H5" s="18"/>
      <c r="I5" s="18"/>
      <c r="J5" s="18"/>
      <c r="K5" s="18"/>
      <c r="L5" s="18"/>
      <c r="M5" s="18"/>
      <c r="N5" s="17"/>
      <c r="O5" s="18"/>
      <c r="P5" s="19"/>
      <c r="Q5" s="17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8"/>
      <c r="AD5" s="9"/>
      <c r="AE5" s="9"/>
      <c r="AF5" s="47"/>
    </row>
    <row r="6" spans="1:32" ht="28" x14ac:dyDescent="0.4">
      <c r="A6" s="47"/>
      <c r="B6" s="16"/>
      <c r="C6" s="16"/>
      <c r="D6" s="17"/>
      <c r="E6" s="18"/>
      <c r="F6" s="18"/>
      <c r="G6" s="18"/>
      <c r="H6" s="18"/>
      <c r="I6" s="18"/>
      <c r="J6" s="18"/>
      <c r="K6" s="18"/>
      <c r="L6" s="18"/>
      <c r="M6" s="18"/>
      <c r="N6" s="17"/>
      <c r="O6" s="18"/>
      <c r="P6" s="19"/>
      <c r="Q6" s="17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8"/>
      <c r="AD6" s="9"/>
      <c r="AE6" s="9"/>
      <c r="AF6" s="47"/>
    </row>
    <row r="7" spans="1:32" ht="45" customHeight="1" x14ac:dyDescent="0.4">
      <c r="A7" s="9"/>
      <c r="B7" s="9">
        <v>0</v>
      </c>
      <c r="C7" s="22"/>
      <c r="D7" s="9">
        <v>2002</v>
      </c>
      <c r="E7" s="20">
        <v>100</v>
      </c>
      <c r="F7" s="20">
        <v>100</v>
      </c>
      <c r="G7" s="20">
        <v>100</v>
      </c>
      <c r="H7" s="20">
        <v>100</v>
      </c>
      <c r="I7" s="20">
        <v>100</v>
      </c>
      <c r="J7" s="20">
        <v>100</v>
      </c>
      <c r="K7" s="20">
        <v>100</v>
      </c>
      <c r="L7" s="20">
        <v>100</v>
      </c>
      <c r="M7" s="20">
        <v>100</v>
      </c>
      <c r="N7" s="20">
        <v>100</v>
      </c>
      <c r="O7" s="20">
        <v>100</v>
      </c>
      <c r="P7" s="20">
        <v>100</v>
      </c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4">
        <f>(E7*R4+F7*S4+G7*T4+H7*U4+I7*V4+J7*W4+K7*X4+L7*Y4+M7*Z4+N7*AA4+O7*AB4)</f>
        <v>100.00000000000001</v>
      </c>
      <c r="AD7" s="2">
        <v>2002</v>
      </c>
      <c r="AE7" s="47"/>
      <c r="AF7" s="9"/>
    </row>
    <row r="8" spans="1:32" ht="45" customHeight="1" x14ac:dyDescent="0.4">
      <c r="A8" s="9"/>
      <c r="B8" s="9">
        <v>1</v>
      </c>
      <c r="C8" s="22"/>
      <c r="D8" s="9">
        <v>2003</v>
      </c>
      <c r="E8" s="20">
        <v>101.4</v>
      </c>
      <c r="F8" s="20">
        <v>102.5</v>
      </c>
      <c r="G8" s="20">
        <v>103.2</v>
      </c>
      <c r="H8" s="20">
        <v>100.7</v>
      </c>
      <c r="I8" s="20">
        <v>98.2</v>
      </c>
      <c r="J8" s="20">
        <v>105.2</v>
      </c>
      <c r="K8" s="20">
        <v>101.4</v>
      </c>
      <c r="L8" s="20">
        <v>100.8</v>
      </c>
      <c r="M8" s="20">
        <v>106</v>
      </c>
      <c r="N8" s="20">
        <v>102.4</v>
      </c>
      <c r="O8" s="20">
        <v>110.1</v>
      </c>
      <c r="P8" s="20">
        <v>102.8</v>
      </c>
      <c r="Q8" s="25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4">
        <f>E8*$R$4+F8*$S$4+G8*$T$4+H8*$U$4+I8*$V$4+J8*$W$4+K8*$X$4+L8*$Y$4+M8*$Z$4+N8*$AA$4+O8*$AB$4</f>
        <v>103.84900000000002</v>
      </c>
      <c r="AD8" s="9">
        <v>2003</v>
      </c>
      <c r="AE8" s="9"/>
      <c r="AF8" s="9"/>
    </row>
    <row r="9" spans="1:32" ht="45" customHeight="1" x14ac:dyDescent="0.4">
      <c r="A9" s="9"/>
      <c r="B9" s="9">
        <v>2</v>
      </c>
      <c r="C9" s="22"/>
      <c r="D9" s="9">
        <v>2004</v>
      </c>
      <c r="E9" s="20">
        <v>103.2</v>
      </c>
      <c r="F9" s="20">
        <v>105.2</v>
      </c>
      <c r="G9" s="20">
        <v>105.8</v>
      </c>
      <c r="H9" s="20">
        <v>101.2</v>
      </c>
      <c r="I9" s="20">
        <v>98</v>
      </c>
      <c r="J9" s="20">
        <v>107.7</v>
      </c>
      <c r="K9" s="20">
        <v>102.8</v>
      </c>
      <c r="L9" s="20">
        <v>101.1</v>
      </c>
      <c r="M9" s="20">
        <v>113.2</v>
      </c>
      <c r="N9" s="20">
        <v>103.8</v>
      </c>
      <c r="O9" s="20">
        <v>116</v>
      </c>
      <c r="P9" s="20">
        <v>104.7</v>
      </c>
      <c r="Q9" s="25"/>
      <c r="R9" s="27"/>
      <c r="S9" s="27"/>
      <c r="T9" s="27"/>
      <c r="U9" s="27"/>
      <c r="V9" s="27"/>
      <c r="W9" s="27"/>
      <c r="X9" s="27"/>
      <c r="Y9" s="27"/>
      <c r="Z9" s="28"/>
      <c r="AA9" s="28"/>
      <c r="AB9" s="29"/>
      <c r="AC9" s="24">
        <f t="shared" ref="AC9:AC28" si="0">E9*$R$4+F9*$S$4+G9*$T$4+H9*$U$4+I9*$V$4+J9*$W$4+K9*$X$4+L9*$Y$4+M9*$Z$4+N9*$AA$4+O9*$AB$4</f>
        <v>107.87950000000001</v>
      </c>
      <c r="AD9" s="9">
        <v>2004</v>
      </c>
      <c r="AE9" s="9"/>
      <c r="AF9" s="25"/>
    </row>
    <row r="10" spans="1:32" ht="45" customHeight="1" x14ac:dyDescent="0.4">
      <c r="A10" s="9"/>
      <c r="B10" s="9">
        <v>3</v>
      </c>
      <c r="C10" s="22"/>
      <c r="D10" s="9">
        <v>2005</v>
      </c>
      <c r="E10" s="20">
        <v>105.6</v>
      </c>
      <c r="F10" s="20">
        <v>108.2</v>
      </c>
      <c r="G10" s="20">
        <v>109.2</v>
      </c>
      <c r="H10" s="20">
        <v>101.7</v>
      </c>
      <c r="I10" s="20">
        <v>97.6</v>
      </c>
      <c r="J10" s="20">
        <v>112</v>
      </c>
      <c r="K10" s="20">
        <v>104.6</v>
      </c>
      <c r="L10" s="20">
        <v>100.8</v>
      </c>
      <c r="M10" s="20">
        <v>117</v>
      </c>
      <c r="N10" s="20">
        <v>105.2</v>
      </c>
      <c r="O10" s="20">
        <v>119.1</v>
      </c>
      <c r="P10" s="20">
        <v>107</v>
      </c>
      <c r="Q10" s="25"/>
      <c r="R10" s="26"/>
      <c r="S10" s="27"/>
      <c r="T10" s="27"/>
      <c r="U10" s="27"/>
      <c r="V10" s="27"/>
      <c r="W10" s="27"/>
      <c r="X10" s="27"/>
      <c r="Y10" s="27"/>
      <c r="Z10" s="28"/>
      <c r="AA10" s="28"/>
      <c r="AB10" s="29"/>
      <c r="AC10" s="24">
        <f t="shared" si="0"/>
        <v>110.89279999999999</v>
      </c>
      <c r="AD10" s="9">
        <v>2005</v>
      </c>
      <c r="AE10" s="9"/>
      <c r="AF10" s="25"/>
    </row>
    <row r="11" spans="1:32" ht="45" customHeight="1" x14ac:dyDescent="0.4">
      <c r="A11" s="9"/>
      <c r="B11" s="9">
        <v>4</v>
      </c>
      <c r="C11" s="22"/>
      <c r="D11" s="9">
        <v>2006</v>
      </c>
      <c r="E11" s="20">
        <v>108</v>
      </c>
      <c r="F11" s="20">
        <v>111.1</v>
      </c>
      <c r="G11" s="20">
        <v>113.1</v>
      </c>
      <c r="H11" s="20">
        <v>102.2</v>
      </c>
      <c r="I11" s="20">
        <v>95.8</v>
      </c>
      <c r="J11" s="20">
        <v>115.2</v>
      </c>
      <c r="K11" s="20">
        <v>105.9</v>
      </c>
      <c r="L11" s="20">
        <v>100.6</v>
      </c>
      <c r="M11" s="20">
        <v>119.6</v>
      </c>
      <c r="N11" s="20">
        <v>106.3</v>
      </c>
      <c r="O11" s="20">
        <v>121.7</v>
      </c>
      <c r="P11" s="20">
        <v>109.1</v>
      </c>
      <c r="Q11" s="25"/>
      <c r="R11" s="27"/>
      <c r="S11" s="27"/>
      <c r="T11" s="27"/>
      <c r="U11" s="27"/>
      <c r="V11" s="27"/>
      <c r="W11" s="27"/>
      <c r="X11" s="27"/>
      <c r="Y11" s="27"/>
      <c r="Z11" s="28"/>
      <c r="AA11" s="28"/>
      <c r="AB11" s="29"/>
      <c r="AC11" s="24">
        <f t="shared" si="0"/>
        <v>113.4014</v>
      </c>
      <c r="AD11" s="9">
        <v>2006</v>
      </c>
      <c r="AE11" s="9"/>
      <c r="AF11" s="25"/>
    </row>
    <row r="12" spans="1:32" ht="45" customHeight="1" x14ac:dyDescent="0.4">
      <c r="A12" s="9"/>
      <c r="B12" s="9">
        <v>5</v>
      </c>
      <c r="C12" s="22"/>
      <c r="D12" s="9">
        <v>2007</v>
      </c>
      <c r="E12" s="20">
        <v>110.9</v>
      </c>
      <c r="F12" s="20">
        <v>114.1</v>
      </c>
      <c r="G12" s="20">
        <v>116.9</v>
      </c>
      <c r="H12" s="20">
        <v>103.2</v>
      </c>
      <c r="I12" s="20">
        <v>95.7</v>
      </c>
      <c r="J12" s="20">
        <v>117.1</v>
      </c>
      <c r="K12" s="20">
        <v>107.3</v>
      </c>
      <c r="L12" s="20">
        <v>101.8</v>
      </c>
      <c r="M12" s="20">
        <v>123.2</v>
      </c>
      <c r="N12" s="20">
        <v>107.8</v>
      </c>
      <c r="O12" s="20">
        <v>125.5</v>
      </c>
      <c r="P12" s="20">
        <v>111.5</v>
      </c>
      <c r="Q12" s="25"/>
      <c r="R12" s="27"/>
      <c r="S12" s="27"/>
      <c r="T12" s="27"/>
      <c r="U12" s="27"/>
      <c r="V12" s="27"/>
      <c r="W12" s="27"/>
      <c r="X12" s="27"/>
      <c r="Y12" s="27"/>
      <c r="Z12" s="28"/>
      <c r="AA12" s="28"/>
      <c r="AB12" s="29"/>
      <c r="AC12" s="24">
        <f t="shared" si="0"/>
        <v>116.4028</v>
      </c>
      <c r="AD12" s="9">
        <v>2007</v>
      </c>
      <c r="AE12" s="9"/>
      <c r="AF12" s="25"/>
    </row>
    <row r="13" spans="1:32" ht="45" customHeight="1" x14ac:dyDescent="0.4">
      <c r="A13" s="9"/>
      <c r="B13" s="9">
        <v>6</v>
      </c>
      <c r="C13" s="22"/>
      <c r="D13" s="9">
        <v>2008</v>
      </c>
      <c r="E13" s="20">
        <v>115.2</v>
      </c>
      <c r="F13" s="20">
        <v>117</v>
      </c>
      <c r="G13" s="20">
        <v>122</v>
      </c>
      <c r="H13" s="20">
        <v>104.6</v>
      </c>
      <c r="I13" s="20">
        <v>93.8</v>
      </c>
      <c r="J13" s="20">
        <v>119.5</v>
      </c>
      <c r="K13" s="20">
        <v>108.8</v>
      </c>
      <c r="L13" s="20">
        <v>102.2</v>
      </c>
      <c r="M13" s="20">
        <v>127.4</v>
      </c>
      <c r="N13" s="20">
        <v>108.9</v>
      </c>
      <c r="O13" s="20">
        <v>127.5</v>
      </c>
      <c r="P13" s="20">
        <v>114.1</v>
      </c>
      <c r="Q13" s="25"/>
      <c r="R13" s="27"/>
      <c r="S13" s="27"/>
      <c r="T13" s="27"/>
      <c r="U13" s="27"/>
      <c r="V13" s="27"/>
      <c r="W13" s="27"/>
      <c r="X13" s="27"/>
      <c r="Y13" s="28"/>
      <c r="Z13" s="28"/>
      <c r="AA13" s="28"/>
      <c r="AB13" s="29"/>
      <c r="AC13" s="24">
        <f t="shared" si="0"/>
        <v>119.98360000000001</v>
      </c>
      <c r="AD13" s="9">
        <v>2008</v>
      </c>
      <c r="AE13" s="9"/>
      <c r="AF13" s="25"/>
    </row>
    <row r="14" spans="1:32" ht="45" customHeight="1" x14ac:dyDescent="0.4">
      <c r="A14" s="9"/>
      <c r="B14" s="9">
        <v>7</v>
      </c>
      <c r="C14" s="22"/>
      <c r="D14" s="9">
        <v>2009</v>
      </c>
      <c r="E14" s="20">
        <v>121.5</v>
      </c>
      <c r="F14" s="20">
        <v>121.1</v>
      </c>
      <c r="G14" s="20">
        <v>121.6</v>
      </c>
      <c r="H14" s="20">
        <v>107.3</v>
      </c>
      <c r="I14" s="20">
        <v>93.4</v>
      </c>
      <c r="J14" s="20">
        <v>113.1</v>
      </c>
      <c r="K14" s="20">
        <v>112.1</v>
      </c>
      <c r="L14" s="20">
        <v>103.1</v>
      </c>
      <c r="M14" s="20">
        <v>132.5</v>
      </c>
      <c r="N14" s="20">
        <v>112.7</v>
      </c>
      <c r="O14" s="20">
        <v>130.69999999999999</v>
      </c>
      <c r="P14" s="20">
        <v>114.4</v>
      </c>
      <c r="Q14" s="25"/>
      <c r="R14" s="27"/>
      <c r="S14" s="27"/>
      <c r="T14" s="27"/>
      <c r="U14" s="27"/>
      <c r="V14" s="27"/>
      <c r="W14" s="27"/>
      <c r="X14" s="27"/>
      <c r="Y14" s="27"/>
      <c r="Z14" s="28"/>
      <c r="AA14" s="28"/>
      <c r="AB14" s="29"/>
      <c r="AC14" s="24">
        <f t="shared" si="0"/>
        <v>122.5587</v>
      </c>
      <c r="AD14" s="9">
        <v>2009</v>
      </c>
      <c r="AE14" s="9"/>
      <c r="AF14" s="25"/>
    </row>
    <row r="15" spans="1:32" ht="45" customHeight="1" x14ac:dyDescent="0.4">
      <c r="A15" s="9"/>
      <c r="B15" s="9">
        <v>8</v>
      </c>
      <c r="C15" s="22"/>
      <c r="D15" s="9">
        <v>2010</v>
      </c>
      <c r="E15" s="20">
        <v>122.7</v>
      </c>
      <c r="F15" s="20">
        <v>124</v>
      </c>
      <c r="G15" s="20">
        <v>123.3</v>
      </c>
      <c r="H15" s="20">
        <v>108.8</v>
      </c>
      <c r="I15" s="20">
        <v>91.6</v>
      </c>
      <c r="J15" s="20">
        <v>118</v>
      </c>
      <c r="K15" s="20">
        <v>115.1</v>
      </c>
      <c r="L15" s="20">
        <v>104</v>
      </c>
      <c r="M15" s="20">
        <v>137.69999999999999</v>
      </c>
      <c r="N15" s="20">
        <v>119.7</v>
      </c>
      <c r="O15" s="20">
        <v>133.1</v>
      </c>
      <c r="P15" s="20">
        <v>116.5</v>
      </c>
      <c r="Q15" s="25"/>
      <c r="R15" s="27"/>
      <c r="S15" s="27"/>
      <c r="T15" s="27"/>
      <c r="U15" s="27"/>
      <c r="V15" s="27"/>
      <c r="W15" s="27"/>
      <c r="X15" s="27"/>
      <c r="Y15" s="27"/>
      <c r="Z15" s="28"/>
      <c r="AA15" s="28"/>
      <c r="AB15" s="29"/>
      <c r="AC15" s="24">
        <f t="shared" si="0"/>
        <v>125.81249999999999</v>
      </c>
      <c r="AD15" s="9">
        <v>2010</v>
      </c>
      <c r="AE15" s="9"/>
      <c r="AF15" s="25"/>
    </row>
    <row r="16" spans="1:32" ht="45" customHeight="1" x14ac:dyDescent="0.4">
      <c r="A16" s="9"/>
      <c r="B16" s="9">
        <v>9</v>
      </c>
      <c r="C16" s="22"/>
      <c r="D16" s="9">
        <v>2011</v>
      </c>
      <c r="E16" s="20">
        <v>127.9</v>
      </c>
      <c r="F16" s="20">
        <v>127.5</v>
      </c>
      <c r="G16" s="20">
        <v>125.6</v>
      </c>
      <c r="H16" s="20">
        <v>110.9</v>
      </c>
      <c r="I16" s="20">
        <v>91.9</v>
      </c>
      <c r="J16" s="20">
        <v>125.6</v>
      </c>
      <c r="K16" s="20">
        <v>117.1</v>
      </c>
      <c r="L16" s="20">
        <v>105.3</v>
      </c>
      <c r="M16" s="20">
        <v>143.1</v>
      </c>
      <c r="N16" s="20">
        <v>125.3</v>
      </c>
      <c r="O16" s="20">
        <v>135.6</v>
      </c>
      <c r="P16" s="20">
        <v>119.9</v>
      </c>
      <c r="Q16" s="25"/>
      <c r="R16" s="27"/>
      <c r="S16" s="27"/>
      <c r="T16" s="27"/>
      <c r="U16" s="27"/>
      <c r="V16" s="27"/>
      <c r="W16" s="27"/>
      <c r="X16" s="27"/>
      <c r="Y16" s="27"/>
      <c r="Z16" s="28"/>
      <c r="AA16" s="28"/>
      <c r="AB16" s="29"/>
      <c r="AC16" s="24">
        <f t="shared" si="0"/>
        <v>129.917</v>
      </c>
      <c r="AD16" s="9">
        <v>2011</v>
      </c>
      <c r="AE16" s="9"/>
      <c r="AF16" s="25"/>
    </row>
    <row r="17" spans="1:32" ht="45" customHeight="1" x14ac:dyDescent="0.4">
      <c r="A17" s="9"/>
      <c r="B17" s="9">
        <v>10</v>
      </c>
      <c r="C17" s="22"/>
      <c r="D17" s="9">
        <v>2012</v>
      </c>
      <c r="E17" s="20">
        <v>130.9</v>
      </c>
      <c r="F17" s="20">
        <v>130.6</v>
      </c>
      <c r="G17" s="20">
        <v>127.1</v>
      </c>
      <c r="H17" s="20">
        <v>113</v>
      </c>
      <c r="I17" s="20">
        <v>92</v>
      </c>
      <c r="J17" s="20">
        <v>128.1</v>
      </c>
      <c r="K17" s="20">
        <v>118.7</v>
      </c>
      <c r="L17" s="20">
        <v>105.9</v>
      </c>
      <c r="M17" s="20">
        <v>148.80000000000001</v>
      </c>
      <c r="N17" s="20">
        <v>128.4</v>
      </c>
      <c r="O17" s="20">
        <v>137.6</v>
      </c>
      <c r="P17" s="20">
        <v>121.7</v>
      </c>
      <c r="Q17" s="25"/>
      <c r="R17" s="27"/>
      <c r="S17" s="27"/>
      <c r="T17" s="27"/>
      <c r="U17" s="27"/>
      <c r="V17" s="27"/>
      <c r="W17" s="27"/>
      <c r="X17" s="27"/>
      <c r="Y17" s="27"/>
      <c r="Z17" s="28"/>
      <c r="AA17" s="28"/>
      <c r="AB17" s="29"/>
      <c r="AC17" s="24">
        <f t="shared" si="0"/>
        <v>133.3382</v>
      </c>
      <c r="AD17" s="9">
        <v>2012</v>
      </c>
      <c r="AE17" s="9"/>
      <c r="AF17" s="25"/>
    </row>
    <row r="18" spans="1:32" ht="45" customHeight="1" x14ac:dyDescent="0.4">
      <c r="A18" s="9"/>
      <c r="B18" s="9">
        <v>11</v>
      </c>
      <c r="C18" s="22"/>
      <c r="D18" s="9">
        <v>2013</v>
      </c>
      <c r="E18" s="20">
        <v>132.30000000000001</v>
      </c>
      <c r="F18" s="20">
        <v>132.6</v>
      </c>
      <c r="G18" s="20">
        <v>128.69999999999999</v>
      </c>
      <c r="H18" s="20">
        <v>114.4</v>
      </c>
      <c r="I18" s="20">
        <v>92.1</v>
      </c>
      <c r="J18" s="20">
        <v>129</v>
      </c>
      <c r="K18" s="20">
        <v>118.3</v>
      </c>
      <c r="L18" s="20">
        <v>106.2</v>
      </c>
      <c r="M18" s="20">
        <v>154</v>
      </c>
      <c r="N18" s="20">
        <v>131.30000000000001</v>
      </c>
      <c r="O18" s="20">
        <v>140.4</v>
      </c>
      <c r="P18" s="20">
        <v>122.8</v>
      </c>
      <c r="Q18" s="25"/>
      <c r="R18" s="27"/>
      <c r="S18" s="27"/>
      <c r="T18" s="27"/>
      <c r="U18" s="27"/>
      <c r="V18" s="27"/>
      <c r="W18" s="27"/>
      <c r="X18" s="27"/>
      <c r="Y18" s="27"/>
      <c r="Z18" s="28"/>
      <c r="AA18" s="28"/>
      <c r="AB18" s="29"/>
      <c r="AC18" s="24">
        <f t="shared" si="0"/>
        <v>136.21019999999999</v>
      </c>
      <c r="AD18" s="9">
        <v>2013</v>
      </c>
      <c r="AE18" s="9"/>
      <c r="AF18" s="25"/>
    </row>
    <row r="19" spans="1:32" ht="45" customHeight="1" x14ac:dyDescent="0.4">
      <c r="A19" s="9"/>
      <c r="B19" s="9">
        <v>12</v>
      </c>
      <c r="C19" s="22"/>
      <c r="D19" s="9">
        <v>2014</v>
      </c>
      <c r="E19" s="20">
        <v>135.6</v>
      </c>
      <c r="F19" s="20">
        <v>135.19999999999999</v>
      </c>
      <c r="G19" s="20">
        <v>132.19999999999999</v>
      </c>
      <c r="H19" s="20">
        <v>116.6</v>
      </c>
      <c r="I19" s="20">
        <v>93.2</v>
      </c>
      <c r="J19" s="20">
        <v>130.4</v>
      </c>
      <c r="K19" s="20">
        <v>119</v>
      </c>
      <c r="L19" s="20">
        <v>107.4</v>
      </c>
      <c r="M19" s="20">
        <v>158.9</v>
      </c>
      <c r="N19" s="20">
        <v>135.5</v>
      </c>
      <c r="O19" s="20">
        <v>146.6</v>
      </c>
      <c r="P19" s="20">
        <v>125.2</v>
      </c>
      <c r="Q19" s="25"/>
      <c r="R19" s="27"/>
      <c r="S19" s="27"/>
      <c r="T19" s="27"/>
      <c r="U19" s="27"/>
      <c r="V19" s="27"/>
      <c r="W19" s="27"/>
      <c r="X19" s="27"/>
      <c r="Y19" s="27"/>
      <c r="Z19" s="28"/>
      <c r="AA19" s="28"/>
      <c r="AB19" s="29"/>
      <c r="AC19" s="24">
        <f t="shared" si="0"/>
        <v>139.81020000000001</v>
      </c>
      <c r="AD19" s="9">
        <v>2014</v>
      </c>
      <c r="AE19" s="9"/>
      <c r="AF19" s="25"/>
    </row>
    <row r="20" spans="1:32" ht="45" customHeight="1" x14ac:dyDescent="0.4">
      <c r="A20" s="9"/>
      <c r="B20" s="9">
        <v>13</v>
      </c>
      <c r="C20" s="22"/>
      <c r="D20" s="9">
        <v>2015</v>
      </c>
      <c r="E20" s="20">
        <v>141.19999999999999</v>
      </c>
      <c r="F20" s="20">
        <v>138.9</v>
      </c>
      <c r="G20" s="20">
        <v>133.69999999999999</v>
      </c>
      <c r="H20" s="20">
        <v>119.7</v>
      </c>
      <c r="I20" s="20">
        <v>94.6</v>
      </c>
      <c r="J20" s="20">
        <v>126.5</v>
      </c>
      <c r="K20" s="20">
        <v>120.5</v>
      </c>
      <c r="L20" s="20">
        <v>109.4</v>
      </c>
      <c r="M20" s="20">
        <v>163.69999999999999</v>
      </c>
      <c r="N20" s="20">
        <v>139.9</v>
      </c>
      <c r="O20" s="20">
        <v>152</v>
      </c>
      <c r="P20" s="20">
        <v>126.6</v>
      </c>
      <c r="Q20" s="25"/>
      <c r="R20" s="27"/>
      <c r="S20" s="27"/>
      <c r="T20" s="27"/>
      <c r="U20" s="27"/>
      <c r="V20" s="27"/>
      <c r="W20" s="27"/>
      <c r="X20" s="27"/>
      <c r="Y20" s="27"/>
      <c r="Z20" s="28"/>
      <c r="AA20" s="28"/>
      <c r="AB20" s="29"/>
      <c r="AC20" s="24">
        <f t="shared" si="0"/>
        <v>142.9196</v>
      </c>
      <c r="AD20" s="9">
        <v>2015</v>
      </c>
      <c r="AE20" s="9"/>
      <c r="AF20" s="25"/>
    </row>
    <row r="21" spans="1:32" ht="45" customHeight="1" x14ac:dyDescent="0.4">
      <c r="A21" s="9"/>
      <c r="B21" s="9">
        <v>14</v>
      </c>
      <c r="C21" s="22"/>
      <c r="D21" s="9">
        <v>2016</v>
      </c>
      <c r="E21" s="20">
        <v>142.6</v>
      </c>
      <c r="F21" s="20">
        <v>142.5</v>
      </c>
      <c r="G21" s="20">
        <v>135.80000000000001</v>
      </c>
      <c r="H21" s="20">
        <v>121.7</v>
      </c>
      <c r="I21" s="20">
        <v>94.4</v>
      </c>
      <c r="J21" s="20">
        <v>127.9</v>
      </c>
      <c r="K21" s="20">
        <v>122.2</v>
      </c>
      <c r="L21" s="20">
        <v>111.3</v>
      </c>
      <c r="M21" s="20">
        <v>168.3</v>
      </c>
      <c r="N21" s="20">
        <v>143</v>
      </c>
      <c r="O21" s="20">
        <v>156.80000000000001</v>
      </c>
      <c r="P21" s="20">
        <v>128.4</v>
      </c>
      <c r="Q21" s="25"/>
      <c r="R21" s="27"/>
      <c r="S21" s="27"/>
      <c r="T21" s="27"/>
      <c r="U21" s="27"/>
      <c r="V21" s="27"/>
      <c r="W21" s="27"/>
      <c r="X21" s="27"/>
      <c r="Y21" s="27"/>
      <c r="Z21" s="28"/>
      <c r="AA21" s="28"/>
      <c r="AB21" s="29"/>
      <c r="AC21" s="24">
        <f t="shared" si="0"/>
        <v>145.92360000000002</v>
      </c>
      <c r="AD21" s="9">
        <v>2016</v>
      </c>
      <c r="AE21" s="9"/>
      <c r="AF21" s="25"/>
    </row>
    <row r="22" spans="1:32" ht="45" customHeight="1" x14ac:dyDescent="0.4">
      <c r="A22" s="9"/>
      <c r="B22" s="9">
        <v>15</v>
      </c>
      <c r="C22" s="22"/>
      <c r="D22" s="9">
        <v>2017</v>
      </c>
      <c r="E22" s="20">
        <v>141.19999999999999</v>
      </c>
      <c r="F22" s="20">
        <v>146.19999999999999</v>
      </c>
      <c r="G22" s="20">
        <v>138.1</v>
      </c>
      <c r="H22" s="20">
        <v>121.9</v>
      </c>
      <c r="I22" s="20">
        <v>93.7</v>
      </c>
      <c r="J22" s="20">
        <v>132.9</v>
      </c>
      <c r="K22" s="20">
        <v>124.3</v>
      </c>
      <c r="L22" s="20">
        <v>114</v>
      </c>
      <c r="M22" s="20">
        <v>173.1</v>
      </c>
      <c r="N22" s="20">
        <v>144.5</v>
      </c>
      <c r="O22" s="20">
        <v>161.1</v>
      </c>
      <c r="P22" s="20">
        <v>130.4</v>
      </c>
      <c r="Q22" s="25"/>
      <c r="R22" s="27"/>
      <c r="S22" s="27"/>
      <c r="T22" s="27"/>
      <c r="U22" s="27"/>
      <c r="V22" s="27"/>
      <c r="W22" s="27"/>
      <c r="X22" s="27"/>
      <c r="Y22" s="27"/>
      <c r="Z22" s="28"/>
      <c r="AA22" s="28"/>
      <c r="AB22" s="29"/>
      <c r="AC22" s="24">
        <f t="shared" si="0"/>
        <v>148.93180000000001</v>
      </c>
      <c r="AD22" s="9">
        <v>2017</v>
      </c>
      <c r="AE22" s="9"/>
      <c r="AF22" s="25"/>
    </row>
    <row r="23" spans="1:32" ht="45" customHeight="1" x14ac:dyDescent="0.4">
      <c r="A23" s="9"/>
      <c r="B23" s="9">
        <v>16</v>
      </c>
      <c r="C23" s="22"/>
      <c r="D23" s="9">
        <v>2018</v>
      </c>
      <c r="E23" s="20">
        <v>142.30000000000001</v>
      </c>
      <c r="F23" s="20">
        <v>152.4</v>
      </c>
      <c r="G23" s="20">
        <v>140.9</v>
      </c>
      <c r="H23" s="20">
        <v>123.2</v>
      </c>
      <c r="I23" s="20">
        <v>94.5</v>
      </c>
      <c r="J23" s="20">
        <v>139.1</v>
      </c>
      <c r="K23" s="20">
        <v>125.9</v>
      </c>
      <c r="L23" s="20">
        <v>115.3</v>
      </c>
      <c r="M23" s="20">
        <v>178.3</v>
      </c>
      <c r="N23" s="20">
        <v>145.9</v>
      </c>
      <c r="O23" s="20">
        <v>167.9</v>
      </c>
      <c r="P23" s="20">
        <v>133.4</v>
      </c>
      <c r="Q23" s="25"/>
      <c r="R23" s="27"/>
      <c r="S23" s="27"/>
      <c r="T23" s="27"/>
      <c r="U23" s="27"/>
      <c r="V23" s="27"/>
      <c r="W23" s="27"/>
      <c r="X23" s="27"/>
      <c r="Y23" s="30"/>
      <c r="Z23" s="28"/>
      <c r="AA23" s="28"/>
      <c r="AB23" s="29"/>
      <c r="AC23" s="24">
        <f t="shared" si="0"/>
        <v>152.74500000000003</v>
      </c>
      <c r="AD23" s="9">
        <v>2018</v>
      </c>
      <c r="AE23" s="9"/>
      <c r="AF23" s="25"/>
    </row>
    <row r="24" spans="1:32" ht="45" customHeight="1" x14ac:dyDescent="0.4">
      <c r="A24" s="9"/>
      <c r="B24" s="9">
        <v>17</v>
      </c>
      <c r="C24" s="22"/>
      <c r="D24" s="9">
        <v>2019</v>
      </c>
      <c r="E24" s="20">
        <v>147.6</v>
      </c>
      <c r="F24" s="20">
        <v>156.5</v>
      </c>
      <c r="G24" s="20">
        <v>144.5</v>
      </c>
      <c r="H24" s="20">
        <v>123.6</v>
      </c>
      <c r="I24" s="20">
        <v>96.1</v>
      </c>
      <c r="J24" s="20">
        <v>141.5</v>
      </c>
      <c r="K24" s="20">
        <v>127.4</v>
      </c>
      <c r="L24" s="20">
        <v>116.8</v>
      </c>
      <c r="M24" s="20">
        <v>179.7</v>
      </c>
      <c r="N24" s="20">
        <v>147.30000000000001</v>
      </c>
      <c r="O24" s="20">
        <v>171.1</v>
      </c>
      <c r="P24" s="20">
        <v>136</v>
      </c>
      <c r="Q24" s="25"/>
      <c r="R24" s="27"/>
      <c r="S24" s="27"/>
      <c r="T24" s="27"/>
      <c r="U24" s="27"/>
      <c r="V24" s="27"/>
      <c r="W24" s="27"/>
      <c r="X24" s="27"/>
      <c r="Y24" s="30"/>
      <c r="Z24" s="28"/>
      <c r="AA24" s="28"/>
      <c r="AB24" s="28"/>
      <c r="AC24" s="24">
        <f t="shared" si="0"/>
        <v>155.166</v>
      </c>
      <c r="AD24" s="9">
        <v>2019</v>
      </c>
      <c r="AE24" s="9"/>
      <c r="AF24" s="25"/>
    </row>
    <row r="25" spans="1:32" ht="45" customHeight="1" x14ac:dyDescent="0.4">
      <c r="A25" s="9"/>
      <c r="B25" s="9">
        <v>18</v>
      </c>
      <c r="C25" s="22"/>
      <c r="D25" s="9">
        <v>2020</v>
      </c>
      <c r="E25" s="20">
        <v>151.1</v>
      </c>
      <c r="F25" s="20">
        <v>159.9</v>
      </c>
      <c r="G25" s="20">
        <v>147</v>
      </c>
      <c r="H25" s="20">
        <v>123.8</v>
      </c>
      <c r="I25" s="20">
        <v>94.4</v>
      </c>
      <c r="J25" s="20">
        <v>141.19999999999999</v>
      </c>
      <c r="K25" s="20">
        <v>129.19999999999999</v>
      </c>
      <c r="L25" s="20">
        <v>115.7</v>
      </c>
      <c r="M25" s="20">
        <v>176.5</v>
      </c>
      <c r="N25" s="20">
        <v>148.6</v>
      </c>
      <c r="O25" s="20">
        <v>171.9</v>
      </c>
      <c r="P25" s="20">
        <v>137</v>
      </c>
      <c r="Q25" s="25"/>
      <c r="R25" s="27"/>
      <c r="S25" s="27"/>
      <c r="T25" s="27"/>
      <c r="U25" s="27"/>
      <c r="V25" s="27"/>
      <c r="W25" s="27"/>
      <c r="X25" s="27"/>
      <c r="Y25" s="30"/>
      <c r="Z25" s="28"/>
      <c r="AA25" s="28"/>
      <c r="AB25" s="28"/>
      <c r="AC25" s="24">
        <f t="shared" si="0"/>
        <v>154.9187</v>
      </c>
      <c r="AD25" s="9">
        <v>2020</v>
      </c>
      <c r="AE25" s="9"/>
      <c r="AF25" s="25"/>
    </row>
    <row r="26" spans="1:32" ht="45" customHeight="1" x14ac:dyDescent="0.4">
      <c r="A26" s="9"/>
      <c r="B26" s="9">
        <v>19</v>
      </c>
      <c r="C26" s="22"/>
      <c r="D26" s="9">
        <v>2021</v>
      </c>
      <c r="E26" s="20">
        <v>154.4</v>
      </c>
      <c r="F26" s="20">
        <v>164.9</v>
      </c>
      <c r="G26" s="20">
        <v>152.69999999999999</v>
      </c>
      <c r="H26" s="20">
        <v>125.2</v>
      </c>
      <c r="I26" s="20">
        <v>94.1</v>
      </c>
      <c r="J26" s="20">
        <v>151.4</v>
      </c>
      <c r="K26" s="20">
        <v>132.6</v>
      </c>
      <c r="L26" s="20">
        <v>117.9</v>
      </c>
      <c r="M26" s="20">
        <v>179.9</v>
      </c>
      <c r="N26" s="20">
        <v>150.1</v>
      </c>
      <c r="O26" s="20">
        <v>175</v>
      </c>
      <c r="P26" s="20">
        <v>141.6</v>
      </c>
      <c r="Q26" s="25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4">
        <f t="shared" si="0"/>
        <v>159.0359</v>
      </c>
      <c r="AD26" s="9">
        <v>2021</v>
      </c>
      <c r="AE26" s="9"/>
      <c r="AF26" s="25"/>
    </row>
    <row r="27" spans="1:32" ht="44" customHeight="1" x14ac:dyDescent="0.4">
      <c r="A27" s="9"/>
      <c r="B27" s="9">
        <v>20</v>
      </c>
      <c r="C27" s="22"/>
      <c r="D27" s="9">
        <v>2022</v>
      </c>
      <c r="E27" s="9">
        <v>169.5</v>
      </c>
      <c r="F27" s="9">
        <v>175.9</v>
      </c>
      <c r="G27" s="9">
        <v>163.30000000000001</v>
      </c>
      <c r="H27" s="9">
        <v>130.9</v>
      </c>
      <c r="I27" s="9">
        <v>95.4</v>
      </c>
      <c r="J27" s="9">
        <v>167.5</v>
      </c>
      <c r="K27" s="20">
        <v>138</v>
      </c>
      <c r="L27" s="20">
        <v>123.5</v>
      </c>
      <c r="M27" s="20">
        <v>183.6</v>
      </c>
      <c r="N27" s="20">
        <v>153</v>
      </c>
      <c r="O27" s="20">
        <v>181.3</v>
      </c>
      <c r="P27" s="20">
        <v>151.19999999999999</v>
      </c>
      <c r="Q27" s="9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4">
        <f t="shared" si="0"/>
        <v>166.61199999999999</v>
      </c>
      <c r="AD27" s="9">
        <v>2022</v>
      </c>
      <c r="AE27" s="9"/>
      <c r="AF27" s="25"/>
    </row>
    <row r="28" spans="1:32" ht="38" customHeight="1" x14ac:dyDescent="0.4">
      <c r="A28" s="9"/>
      <c r="B28" s="9">
        <v>21</v>
      </c>
      <c r="C28" s="22"/>
      <c r="D28" s="9">
        <v>2023</v>
      </c>
      <c r="E28" s="9">
        <v>182.8</v>
      </c>
      <c r="F28" s="9">
        <v>187.3</v>
      </c>
      <c r="G28" s="9">
        <v>172.5</v>
      </c>
      <c r="H28" s="9">
        <v>132</v>
      </c>
      <c r="I28" s="9">
        <v>96.4</v>
      </c>
      <c r="J28" s="20">
        <v>169</v>
      </c>
      <c r="K28" s="9">
        <v>145.80000000000001</v>
      </c>
      <c r="L28" s="9">
        <v>126.4</v>
      </c>
      <c r="M28" s="20">
        <v>188</v>
      </c>
      <c r="N28" s="9">
        <v>157.5</v>
      </c>
      <c r="O28" s="9">
        <v>190.5</v>
      </c>
      <c r="P28" s="9">
        <v>157.1</v>
      </c>
      <c r="Q28" s="9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4">
        <f t="shared" si="0"/>
        <v>172.79080000000002</v>
      </c>
      <c r="AD28" s="9">
        <v>2023</v>
      </c>
      <c r="AE28" s="9"/>
      <c r="AF28" s="9"/>
    </row>
    <row r="29" spans="1:32" ht="28" x14ac:dyDescent="0.4">
      <c r="A29" s="9"/>
      <c r="B29" s="9"/>
      <c r="C29" s="22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s">
        <v>35</v>
      </c>
      <c r="O29" s="9"/>
      <c r="P29" s="33">
        <f>((P28-P7)/P7)</f>
        <v>0.57099999999999995</v>
      </c>
      <c r="Q29" s="9"/>
      <c r="R29" s="9"/>
      <c r="S29" s="32"/>
      <c r="T29" s="32"/>
      <c r="U29" s="31"/>
      <c r="V29" s="31"/>
      <c r="W29" s="31"/>
      <c r="X29" s="31"/>
      <c r="Y29" s="22"/>
      <c r="Z29" s="9"/>
      <c r="AA29" s="31" t="s">
        <v>41</v>
      </c>
      <c r="AB29" s="9"/>
      <c r="AC29" s="33">
        <f>(AC28-AC7)/AC7</f>
        <v>0.72790799999999989</v>
      </c>
      <c r="AD29" s="9"/>
      <c r="AE29" s="9"/>
      <c r="AF29" s="9"/>
    </row>
    <row r="30" spans="1:32" ht="28" x14ac:dyDescent="0.4">
      <c r="A30" s="9"/>
      <c r="B30" s="9"/>
      <c r="C30" s="22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32"/>
      <c r="T30" s="32"/>
      <c r="U30" s="31"/>
      <c r="V30" s="31"/>
      <c r="W30" s="31"/>
      <c r="X30" s="31"/>
      <c r="Y30" s="22"/>
      <c r="Z30" s="9"/>
      <c r="AA30" s="9"/>
      <c r="AB30" s="9"/>
      <c r="AC30" s="32"/>
      <c r="AD30" s="9"/>
      <c r="AE30" s="9"/>
      <c r="AF30" s="9"/>
    </row>
    <row r="31" spans="1:32" ht="28" x14ac:dyDescent="0.4">
      <c r="A31" s="9"/>
      <c r="B31" s="9"/>
      <c r="C31" s="22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34"/>
      <c r="Q31" s="9"/>
      <c r="R31" s="9"/>
      <c r="S31" s="32"/>
      <c r="T31" s="32"/>
      <c r="U31" s="31"/>
      <c r="V31" s="31"/>
      <c r="W31" s="31"/>
      <c r="X31" s="31"/>
      <c r="Y31" s="22"/>
      <c r="Z31" s="9"/>
      <c r="AA31" s="9"/>
      <c r="AB31" s="9"/>
      <c r="AC31" s="34"/>
      <c r="AD31" s="9"/>
      <c r="AE31" s="9"/>
      <c r="AF31" s="9"/>
    </row>
    <row r="32" spans="1:32" ht="28" x14ac:dyDescent="0.4">
      <c r="A32" s="9"/>
      <c r="B32" s="9"/>
      <c r="C32" s="35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32"/>
      <c r="T32" s="32"/>
      <c r="U32" s="31"/>
      <c r="V32" s="31"/>
      <c r="W32" s="31"/>
      <c r="X32" s="31"/>
      <c r="Y32" s="22"/>
      <c r="Z32" s="9"/>
      <c r="AA32" s="9"/>
      <c r="AB32" s="9"/>
      <c r="AC32" s="32"/>
      <c r="AD32" s="9"/>
      <c r="AE32" s="9"/>
      <c r="AF32" s="9"/>
    </row>
    <row r="33" spans="1:32" ht="31" x14ac:dyDescent="0.4">
      <c r="A33" s="9"/>
      <c r="B33" s="9"/>
      <c r="C33" s="35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36"/>
      <c r="Q33" s="9"/>
      <c r="R33" s="37"/>
      <c r="S33" s="32"/>
      <c r="T33" s="32"/>
      <c r="U33" s="31"/>
      <c r="V33" s="31"/>
      <c r="W33" s="31"/>
      <c r="X33" s="31"/>
      <c r="Y33" s="22"/>
      <c r="Z33" s="9"/>
      <c r="AA33" s="9"/>
      <c r="AB33" s="9"/>
      <c r="AC33" s="32"/>
      <c r="AD33" s="9"/>
      <c r="AE33" s="9"/>
      <c r="AF33" s="9"/>
    </row>
    <row r="34" spans="1:32" ht="28" x14ac:dyDescent="0.4">
      <c r="A34" s="9"/>
      <c r="B34" s="9"/>
      <c r="C34" s="35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32"/>
      <c r="T34" s="32"/>
      <c r="U34" s="31"/>
      <c r="V34" s="31"/>
      <c r="W34" s="31"/>
      <c r="X34" s="31"/>
      <c r="Y34" s="22"/>
      <c r="Z34" s="9"/>
      <c r="AA34" s="9"/>
      <c r="AB34" s="9"/>
      <c r="AC34" s="9"/>
      <c r="AD34" s="9"/>
      <c r="AE34" s="9"/>
      <c r="AF34" s="38"/>
    </row>
    <row r="35" spans="1:32" ht="28" x14ac:dyDescent="0.4">
      <c r="A35" s="9"/>
      <c r="B35" s="9"/>
      <c r="C35" s="35"/>
      <c r="D35" s="3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40"/>
      <c r="Q35" s="9"/>
      <c r="R35" s="9"/>
      <c r="S35" s="32"/>
      <c r="T35" s="32"/>
      <c r="U35" s="31"/>
      <c r="V35" s="31"/>
      <c r="W35" s="31"/>
      <c r="X35" s="31"/>
      <c r="Y35" s="22"/>
      <c r="Z35" s="9"/>
      <c r="AA35" s="9"/>
      <c r="AB35" s="9"/>
      <c r="AC35" s="9"/>
      <c r="AD35" s="9"/>
      <c r="AE35" s="9"/>
      <c r="AF35" s="9"/>
    </row>
    <row r="36" spans="1:32" ht="28" x14ac:dyDescent="0.4">
      <c r="A36" s="9"/>
      <c r="B36" s="9"/>
      <c r="C36" s="35"/>
      <c r="D36" s="3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38"/>
      <c r="R36" s="9"/>
      <c r="S36" s="32"/>
      <c r="T36" s="32"/>
      <c r="U36" s="31"/>
      <c r="V36" s="31"/>
      <c r="W36" s="31"/>
      <c r="X36" s="31"/>
      <c r="Y36" s="22"/>
      <c r="Z36" s="9"/>
      <c r="AA36" s="9"/>
      <c r="AB36" s="9"/>
      <c r="AC36" s="9"/>
      <c r="AD36" s="9"/>
      <c r="AE36" s="9"/>
      <c r="AF36" s="9"/>
    </row>
    <row r="37" spans="1:32" ht="28" x14ac:dyDescent="0.4">
      <c r="A37" s="9"/>
      <c r="B37" s="9"/>
      <c r="C37" s="35"/>
      <c r="D37" s="3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32"/>
      <c r="T37" s="32"/>
      <c r="U37" s="31"/>
      <c r="V37" s="31"/>
      <c r="W37" s="31"/>
      <c r="X37" s="31"/>
      <c r="Y37" s="22"/>
      <c r="Z37" s="9"/>
      <c r="AA37" s="9"/>
      <c r="AB37" s="9"/>
      <c r="AC37" s="9"/>
      <c r="AD37" s="9"/>
      <c r="AE37" s="9"/>
      <c r="AF37" s="9"/>
    </row>
    <row r="38" spans="1:32" ht="28" x14ac:dyDescent="0.4">
      <c r="A38" s="9"/>
      <c r="B38" s="9"/>
      <c r="C38" s="35"/>
      <c r="D38" s="3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32"/>
      <c r="T38" s="32"/>
      <c r="U38" s="31"/>
      <c r="V38" s="31"/>
      <c r="W38" s="31"/>
      <c r="X38" s="31"/>
      <c r="Y38" s="22"/>
      <c r="Z38" s="9"/>
      <c r="AA38" s="9"/>
      <c r="AB38" s="9"/>
      <c r="AC38" s="9"/>
      <c r="AD38" s="9"/>
      <c r="AE38" s="9"/>
      <c r="AF38" s="9"/>
    </row>
    <row r="39" spans="1:32" ht="28" x14ac:dyDescent="0.4">
      <c r="A39" s="9"/>
      <c r="B39" s="41" t="s">
        <v>36</v>
      </c>
      <c r="C39" s="41"/>
      <c r="D39" s="9"/>
      <c r="E39" s="42">
        <f>E4*(E7/$P7)*((E28-E7)/E7)</f>
        <v>9.1411200000000012E-2</v>
      </c>
      <c r="F39" s="42">
        <f t="shared" ref="F39:O39" si="1">F4*(F7/$P7)*((F28-F7)/F7)</f>
        <v>4.8975300000000006E-2</v>
      </c>
      <c r="G39" s="42">
        <f t="shared" si="1"/>
        <v>0.20546499999999998</v>
      </c>
      <c r="H39" s="42">
        <f t="shared" si="1"/>
        <v>4.5952E-2</v>
      </c>
      <c r="I39" s="42">
        <f t="shared" si="1"/>
        <v>-1.7027999999999974E-3</v>
      </c>
      <c r="J39" s="42">
        <f t="shared" si="1"/>
        <v>0.11343599999999998</v>
      </c>
      <c r="K39" s="42">
        <f t="shared" si="1"/>
        <v>2.3037400000000006E-2</v>
      </c>
      <c r="L39" s="42">
        <f t="shared" si="1"/>
        <v>2.3232000000000006E-2</v>
      </c>
      <c r="M39" s="42">
        <f t="shared" si="1"/>
        <v>8.8880000000000001E-3</v>
      </c>
      <c r="N39" s="42">
        <f t="shared" si="1"/>
        <v>6.3250000000000003E-4</v>
      </c>
      <c r="O39" s="42">
        <f t="shared" si="1"/>
        <v>4.0996499999999998E-2</v>
      </c>
      <c r="P39" s="42">
        <f>P4*(P7/$P7)*((P28-P7)/P7)</f>
        <v>0.57099999999999995</v>
      </c>
      <c r="Q39" s="42"/>
      <c r="R39" s="42">
        <v>7.1999999999999995E-2</v>
      </c>
      <c r="S39" s="42">
        <v>5.7000000000000002E-2</v>
      </c>
      <c r="T39" s="63">
        <v>0.16600000000000001</v>
      </c>
      <c r="U39" s="42">
        <v>1.4999999999999999E-2</v>
      </c>
      <c r="V39" s="43">
        <v>-1E-3</v>
      </c>
      <c r="W39" s="43">
        <v>4.3999999999999997E-2</v>
      </c>
      <c r="X39" s="43">
        <v>5.0000000000000001E-3</v>
      </c>
      <c r="Y39" s="43">
        <v>6.0000000000000001E-3</v>
      </c>
      <c r="Z39" s="43">
        <v>0.376</v>
      </c>
      <c r="AA39" s="43">
        <v>8.9999999999999993E-3</v>
      </c>
      <c r="AB39" s="43">
        <v>0.01</v>
      </c>
      <c r="AC39" s="43">
        <v>0.51900000000000002</v>
      </c>
      <c r="AD39" s="9"/>
      <c r="AE39" s="9"/>
      <c r="AF39" s="9"/>
    </row>
    <row r="40" spans="1:32" ht="28" x14ac:dyDescent="0.4">
      <c r="A40" s="9"/>
      <c r="B40" s="9"/>
      <c r="C40" s="35"/>
      <c r="D40" s="39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9"/>
      <c r="R40" s="9"/>
      <c r="S40" s="32"/>
      <c r="U40" s="31"/>
      <c r="V40" s="31"/>
      <c r="W40" s="31"/>
      <c r="X40" s="31"/>
      <c r="Y40" s="22"/>
      <c r="Z40" s="9"/>
      <c r="AA40" s="9"/>
      <c r="AB40" s="9"/>
      <c r="AC40" s="9"/>
      <c r="AD40" s="9"/>
      <c r="AE40" s="9"/>
      <c r="AF40" s="9"/>
    </row>
    <row r="41" spans="1:32" ht="28" x14ac:dyDescent="0.4">
      <c r="A41" s="9"/>
      <c r="B41" s="41" t="s">
        <v>37</v>
      </c>
      <c r="C41" s="41"/>
      <c r="D41" s="39"/>
      <c r="E41" s="44">
        <v>0.16</v>
      </c>
      <c r="F41" s="45">
        <v>8.5999999999999993E-2</v>
      </c>
      <c r="G41" s="45">
        <v>0.36</v>
      </c>
      <c r="H41" s="45">
        <v>0.08</v>
      </c>
      <c r="I41" s="45">
        <v>-3.0000000000000001E-3</v>
      </c>
      <c r="J41" s="45">
        <v>0.19900000000000001</v>
      </c>
      <c r="K41" s="45">
        <v>0.04</v>
      </c>
      <c r="L41" s="45">
        <v>4.1000000000000002E-2</v>
      </c>
      <c r="M41" s="45">
        <v>1.6E-2</v>
      </c>
      <c r="N41" s="45">
        <v>1E-3</v>
      </c>
      <c r="O41" s="45">
        <v>7.1999999999999995E-2</v>
      </c>
      <c r="P41" s="45">
        <v>1</v>
      </c>
      <c r="Q41" s="9"/>
      <c r="R41" s="44">
        <v>0.13800000000000001</v>
      </c>
      <c r="S41" s="45">
        <v>0.109</v>
      </c>
      <c r="T41" s="45">
        <v>0.31900000000000001</v>
      </c>
      <c r="U41" s="45">
        <v>2.8000000000000001E-2</v>
      </c>
      <c r="V41" s="45">
        <v>-2E-3</v>
      </c>
      <c r="W41" s="45">
        <v>8.4000000000000005E-2</v>
      </c>
      <c r="X41" s="45">
        <v>0.01</v>
      </c>
      <c r="Y41" s="45">
        <v>1.0999999999999999E-2</v>
      </c>
      <c r="Z41" s="45">
        <v>0.72499999999999998</v>
      </c>
      <c r="AA41" s="45">
        <v>1.7000000000000001E-2</v>
      </c>
      <c r="AB41" s="45">
        <v>1.9E-2</v>
      </c>
      <c r="AC41" s="45">
        <v>1</v>
      </c>
      <c r="AD41" s="9"/>
      <c r="AE41" s="9"/>
      <c r="AF41" s="9"/>
    </row>
    <row r="42" spans="1:32" ht="28" x14ac:dyDescent="0.4">
      <c r="A42" s="9"/>
      <c r="B42" s="9"/>
      <c r="C42" s="35"/>
      <c r="D42" s="3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ht="28" x14ac:dyDescent="0.4">
      <c r="A43" s="9"/>
      <c r="B43" s="41" t="s">
        <v>38</v>
      </c>
      <c r="C43" s="41"/>
      <c r="D43" s="41"/>
      <c r="E43" s="44">
        <v>0.16</v>
      </c>
      <c r="F43" s="45" t="s">
        <v>96</v>
      </c>
      <c r="G43" s="45">
        <v>0.36</v>
      </c>
      <c r="H43" s="45">
        <v>0.08</v>
      </c>
      <c r="I43" s="45">
        <v>-3.0000000000000001E-3</v>
      </c>
      <c r="J43" s="45">
        <v>0.19900000000000001</v>
      </c>
      <c r="K43" s="45">
        <v>0.04</v>
      </c>
      <c r="L43" s="45">
        <v>4.1000000000000002E-2</v>
      </c>
      <c r="M43" s="45">
        <v>1.6E-2</v>
      </c>
      <c r="N43" s="45">
        <v>1E-3</v>
      </c>
      <c r="O43" s="45">
        <v>7.1999999999999995E-2</v>
      </c>
      <c r="P43" s="45">
        <v>1</v>
      </c>
      <c r="Q43" s="9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9"/>
      <c r="AE43" s="9"/>
      <c r="AF43" s="9"/>
    </row>
    <row r="44" spans="1:32" ht="28" x14ac:dyDescent="0.4">
      <c r="A44" s="9"/>
      <c r="B44" s="9"/>
      <c r="C44" s="35"/>
      <c r="D44" s="3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32"/>
      <c r="T44" s="32"/>
      <c r="U44" s="31"/>
      <c r="V44" s="31"/>
      <c r="W44" s="31"/>
      <c r="X44" s="31"/>
      <c r="Y44" s="22"/>
      <c r="Z44" s="9"/>
      <c r="AA44" s="9"/>
      <c r="AB44" s="9"/>
      <c r="AC44" s="9"/>
      <c r="AD44" s="9"/>
      <c r="AE44" s="9"/>
      <c r="AF44" s="9"/>
    </row>
    <row r="45" spans="1:32" ht="28" x14ac:dyDescent="0.4">
      <c r="A45" s="9"/>
      <c r="B45" s="9"/>
      <c r="C45" s="35"/>
      <c r="D45" s="3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32"/>
      <c r="T45" s="32"/>
      <c r="U45" s="31"/>
      <c r="V45" s="31"/>
      <c r="W45" s="31"/>
      <c r="X45" s="31"/>
      <c r="Y45" s="22"/>
      <c r="Z45" s="9"/>
      <c r="AA45" s="9"/>
      <c r="AB45" s="9"/>
      <c r="AC45" s="9"/>
      <c r="AD45" s="9"/>
      <c r="AE45" s="9"/>
      <c r="AF45" s="9"/>
    </row>
    <row r="46" spans="1:32" ht="28" x14ac:dyDescent="0.4">
      <c r="A46" s="9"/>
      <c r="B46" s="9"/>
      <c r="C46" s="35"/>
      <c r="D46" s="3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32"/>
      <c r="T46" s="32"/>
      <c r="U46" s="31"/>
      <c r="V46" s="31"/>
      <c r="W46" s="31"/>
      <c r="X46" s="31"/>
      <c r="Y46" s="22"/>
      <c r="Z46" s="9"/>
      <c r="AA46" s="9"/>
      <c r="AB46" s="9"/>
      <c r="AC46" s="9"/>
      <c r="AD46" s="9"/>
      <c r="AE46" s="9"/>
      <c r="AF46" s="9"/>
    </row>
    <row r="47" spans="1:32" ht="28" x14ac:dyDescent="0.4">
      <c r="A47" s="9"/>
      <c r="B47" s="9"/>
      <c r="C47" s="35"/>
      <c r="D47" s="3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31"/>
      <c r="S47" s="31"/>
      <c r="T47" s="31"/>
      <c r="U47" s="31"/>
      <c r="V47" s="31"/>
      <c r="W47" s="31"/>
      <c r="X47" s="31"/>
      <c r="Y47" s="22"/>
      <c r="Z47" s="9"/>
      <c r="AA47" s="9"/>
      <c r="AB47" s="9"/>
      <c r="AC47" s="9"/>
      <c r="AD47" s="9"/>
      <c r="AE47" s="9"/>
      <c r="AF47" s="9"/>
    </row>
    <row r="48" spans="1:32" ht="28" x14ac:dyDescent="0.4">
      <c r="A48" s="9"/>
      <c r="B48" s="9"/>
      <c r="C48" s="35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31"/>
      <c r="S48" s="31"/>
      <c r="T48" s="31"/>
      <c r="U48" s="31"/>
      <c r="V48" s="31"/>
      <c r="W48" s="31"/>
      <c r="X48" s="31"/>
      <c r="Y48" s="22"/>
      <c r="Z48" s="9"/>
      <c r="AA48" s="9"/>
      <c r="AB48" s="9"/>
      <c r="AC48" s="9"/>
      <c r="AD48" s="9"/>
      <c r="AE48" s="9"/>
      <c r="AF48" s="9"/>
    </row>
    <row r="49" spans="1:32" ht="28" x14ac:dyDescent="0.4">
      <c r="A49" s="9"/>
      <c r="B49" s="9"/>
      <c r="C49" s="35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31"/>
      <c r="S49" s="31"/>
      <c r="T49" s="31"/>
      <c r="U49" s="31"/>
      <c r="V49" s="31"/>
      <c r="W49" s="31"/>
      <c r="X49" s="31"/>
      <c r="Y49" s="22"/>
      <c r="Z49" s="9"/>
      <c r="AA49" s="9"/>
      <c r="AB49" s="9"/>
      <c r="AC49" s="9"/>
      <c r="AD49" s="9"/>
      <c r="AE49" s="9"/>
      <c r="AF49" s="9"/>
    </row>
    <row r="50" spans="1:32" ht="28" x14ac:dyDescent="0.4">
      <c r="A50" s="9"/>
      <c r="B50" s="9"/>
      <c r="C50" s="35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31"/>
      <c r="S50" s="31"/>
      <c r="T50" s="31"/>
      <c r="U50" s="31"/>
      <c r="V50" s="31"/>
      <c r="W50" s="31"/>
      <c r="X50" s="31"/>
      <c r="Y50" s="22"/>
      <c r="Z50" s="9"/>
      <c r="AA50" s="9"/>
      <c r="AB50" s="9"/>
      <c r="AC50" s="9"/>
      <c r="AD50" s="9"/>
      <c r="AE50" s="9"/>
      <c r="AF50" s="9"/>
    </row>
    <row r="51" spans="1:32" ht="28" x14ac:dyDescent="0.4">
      <c r="A51" s="9"/>
      <c r="B51" s="9"/>
      <c r="C51" s="35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31"/>
      <c r="S51" s="31"/>
      <c r="T51" s="31"/>
      <c r="U51" s="31"/>
      <c r="V51" s="31"/>
      <c r="W51" s="31"/>
      <c r="X51" s="31"/>
      <c r="Y51" s="22"/>
      <c r="Z51" s="9"/>
      <c r="AA51" s="9"/>
      <c r="AB51" s="9"/>
      <c r="AC51" s="9"/>
      <c r="AD51" s="9"/>
      <c r="AE51" s="9"/>
      <c r="AF51" s="9"/>
    </row>
    <row r="52" spans="1:32" ht="28" x14ac:dyDescent="0.4">
      <c r="A52" s="9"/>
      <c r="B52" s="9"/>
      <c r="C52" s="35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31"/>
      <c r="S52" s="31"/>
      <c r="T52" s="31"/>
      <c r="U52" s="31"/>
      <c r="V52" s="31"/>
      <c r="W52" s="31"/>
      <c r="X52" s="31"/>
      <c r="Y52" s="22"/>
      <c r="Z52" s="9"/>
      <c r="AA52" s="9"/>
      <c r="AB52" s="9"/>
      <c r="AC52" s="9"/>
      <c r="AD52" s="9"/>
      <c r="AE52" s="9"/>
      <c r="AF52" s="9"/>
    </row>
    <row r="53" spans="1:32" ht="28" x14ac:dyDescent="0.4">
      <c r="A53" s="9"/>
      <c r="B53" s="9"/>
      <c r="C53" s="35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31"/>
      <c r="S53" s="31"/>
      <c r="T53" s="31"/>
      <c r="U53" s="31"/>
      <c r="V53" s="31"/>
      <c r="W53" s="31"/>
      <c r="X53" s="31"/>
      <c r="Y53" s="22"/>
      <c r="Z53" s="9"/>
      <c r="AA53" s="9"/>
      <c r="AB53" s="9"/>
      <c r="AC53" s="9"/>
      <c r="AD53" s="9"/>
      <c r="AE53" s="9"/>
      <c r="AF53" s="9"/>
    </row>
    <row r="54" spans="1:32" ht="28" x14ac:dyDescent="0.4">
      <c r="A54" s="9"/>
      <c r="B54" s="9"/>
      <c r="C54" s="35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31"/>
      <c r="S54" s="31"/>
      <c r="T54" s="31"/>
      <c r="U54" s="31"/>
      <c r="V54" s="31"/>
      <c r="W54" s="31"/>
      <c r="X54" s="31"/>
      <c r="Y54" s="22"/>
      <c r="Z54" s="9"/>
      <c r="AA54" s="9"/>
      <c r="AB54" s="9"/>
      <c r="AC54" s="9"/>
      <c r="AD54" s="9"/>
      <c r="AE54" s="9"/>
      <c r="AF54" s="9"/>
    </row>
    <row r="55" spans="1:32" ht="28" x14ac:dyDescent="0.4">
      <c r="A55" s="9"/>
      <c r="B55" s="9"/>
      <c r="C55" s="35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31"/>
      <c r="S55" s="31"/>
      <c r="T55" s="31"/>
      <c r="U55" s="31"/>
      <c r="V55" s="31"/>
      <c r="W55" s="31"/>
      <c r="X55" s="31"/>
      <c r="Y55" s="22"/>
      <c r="Z55" s="9"/>
      <c r="AA55" s="9"/>
      <c r="AB55" s="9"/>
      <c r="AC55" s="9"/>
      <c r="AD55" s="9"/>
      <c r="AE55" s="9"/>
      <c r="AF55" s="9"/>
    </row>
    <row r="56" spans="1:32" ht="28" x14ac:dyDescent="0.4">
      <c r="A56" s="9"/>
      <c r="B56" s="9"/>
      <c r="C56" s="35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31"/>
      <c r="S56" s="31"/>
      <c r="T56" s="31"/>
      <c r="U56" s="31"/>
      <c r="V56" s="31"/>
      <c r="W56" s="31"/>
      <c r="X56" s="31"/>
      <c r="Y56" s="22"/>
      <c r="Z56" s="9"/>
      <c r="AA56" s="9"/>
      <c r="AB56" s="9"/>
      <c r="AC56" s="9"/>
      <c r="AD56" s="9"/>
      <c r="AE56" s="9"/>
      <c r="AF56" s="9"/>
    </row>
    <row r="57" spans="1:32" ht="28" x14ac:dyDescent="0.4">
      <c r="A57" s="9"/>
      <c r="B57" s="9"/>
      <c r="C57" s="35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31"/>
      <c r="S57" s="31"/>
      <c r="T57" s="31"/>
      <c r="U57" s="31"/>
      <c r="V57" s="31"/>
      <c r="W57" s="31"/>
      <c r="X57" s="31"/>
      <c r="Y57" s="22"/>
      <c r="Z57" s="9"/>
      <c r="AA57" s="9"/>
      <c r="AB57" s="9"/>
      <c r="AC57" s="9"/>
      <c r="AD57" s="9"/>
      <c r="AE57" s="9"/>
      <c r="AF57" s="9"/>
    </row>
    <row r="58" spans="1:32" ht="28" x14ac:dyDescent="0.4">
      <c r="A58" s="9"/>
      <c r="B58" s="9"/>
      <c r="C58" s="35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31"/>
      <c r="S58" s="31"/>
      <c r="T58" s="31"/>
      <c r="U58" s="31"/>
      <c r="V58" s="31"/>
      <c r="W58" s="31"/>
      <c r="X58" s="31"/>
      <c r="Y58" s="22"/>
      <c r="Z58" s="9"/>
      <c r="AA58" s="9"/>
      <c r="AB58" s="9"/>
      <c r="AC58" s="9"/>
      <c r="AD58" s="9"/>
      <c r="AE58" s="9"/>
      <c r="AF58" s="9"/>
    </row>
    <row r="59" spans="1:32" ht="28" x14ac:dyDescent="0.4">
      <c r="A59" s="9"/>
      <c r="B59" s="9"/>
      <c r="C59" s="35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31"/>
      <c r="S59" s="31"/>
      <c r="T59" s="31"/>
      <c r="U59" s="31"/>
      <c r="V59" s="31"/>
      <c r="W59" s="31"/>
      <c r="X59" s="31"/>
      <c r="Y59" s="22"/>
      <c r="Z59" s="9"/>
      <c r="AA59" s="9"/>
      <c r="AB59" s="9"/>
      <c r="AC59" s="9"/>
      <c r="AD59" s="9"/>
      <c r="AE59" s="9"/>
      <c r="AF59" s="9"/>
    </row>
    <row r="60" spans="1:32" ht="28" x14ac:dyDescent="0.4">
      <c r="A60" s="9"/>
      <c r="B60" s="9"/>
      <c r="C60" s="35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31"/>
      <c r="S60" s="31"/>
      <c r="T60" s="31"/>
      <c r="U60" s="31"/>
      <c r="V60" s="31"/>
      <c r="W60" s="31"/>
      <c r="X60" s="31"/>
      <c r="Y60" s="22"/>
      <c r="Z60" s="9"/>
      <c r="AA60" s="9"/>
      <c r="AB60" s="9"/>
      <c r="AC60" s="9"/>
      <c r="AD60" s="9"/>
      <c r="AE60" s="9"/>
      <c r="AF60" s="9"/>
    </row>
    <row r="61" spans="1:32" ht="28" x14ac:dyDescent="0.4">
      <c r="A61" s="9"/>
      <c r="B61" s="9"/>
      <c r="C61" s="35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31"/>
      <c r="S61" s="31"/>
      <c r="T61" s="31"/>
      <c r="U61" s="31"/>
      <c r="V61" s="31"/>
      <c r="W61" s="31"/>
      <c r="X61" s="31"/>
      <c r="Y61" s="22"/>
      <c r="Z61" s="9"/>
      <c r="AA61" s="9"/>
      <c r="AB61" s="9"/>
      <c r="AC61" s="9"/>
      <c r="AD61" s="9"/>
      <c r="AE61" s="9"/>
      <c r="AF61" s="9"/>
    </row>
    <row r="62" spans="1:32" ht="28" x14ac:dyDescent="0.4">
      <c r="A62" s="9"/>
      <c r="B62" s="9"/>
      <c r="C62" s="35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31"/>
      <c r="S62" s="31"/>
      <c r="T62" s="31"/>
      <c r="U62" s="31"/>
      <c r="V62" s="31"/>
      <c r="W62" s="31"/>
      <c r="X62" s="31"/>
      <c r="Y62" s="22"/>
      <c r="Z62" s="9"/>
      <c r="AA62" s="9"/>
      <c r="AB62" s="9"/>
      <c r="AC62" s="9"/>
      <c r="AD62" s="9"/>
      <c r="AE62" s="9"/>
      <c r="AF62" s="9"/>
    </row>
    <row r="63" spans="1:32" ht="28" x14ac:dyDescent="0.4">
      <c r="A63" s="9"/>
      <c r="B63" s="9"/>
      <c r="C63" s="35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31"/>
      <c r="S63" s="31"/>
      <c r="T63" s="31"/>
      <c r="U63" s="31"/>
      <c r="V63" s="31"/>
      <c r="W63" s="31"/>
      <c r="X63" s="31"/>
      <c r="Y63" s="22"/>
      <c r="Z63" s="9"/>
      <c r="AA63" s="9"/>
      <c r="AB63" s="9"/>
      <c r="AC63" s="9"/>
      <c r="AD63" s="9"/>
      <c r="AE63" s="9"/>
      <c r="AF63" s="9"/>
    </row>
    <row r="64" spans="1:32" ht="28" x14ac:dyDescent="0.4">
      <c r="A64" s="9"/>
      <c r="B64" s="9"/>
      <c r="C64" s="35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31"/>
      <c r="S64" s="31"/>
      <c r="T64" s="31"/>
      <c r="U64" s="31"/>
      <c r="V64" s="31"/>
      <c r="W64" s="31"/>
      <c r="X64" s="31"/>
      <c r="Y64" s="22"/>
      <c r="Z64" s="9"/>
      <c r="AA64" s="9"/>
      <c r="AB64" s="9"/>
      <c r="AC64" s="9"/>
      <c r="AD64" s="9"/>
      <c r="AE64" s="9"/>
      <c r="AF64" s="9"/>
    </row>
    <row r="65" spans="1:32" ht="28" x14ac:dyDescent="0.4">
      <c r="A65" s="9"/>
      <c r="B65" s="9"/>
      <c r="C65" s="35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31"/>
      <c r="S65" s="31"/>
      <c r="T65" s="31"/>
      <c r="U65" s="31"/>
      <c r="V65" s="31"/>
      <c r="W65" s="31"/>
      <c r="X65" s="31"/>
      <c r="Y65" s="22"/>
      <c r="Z65" s="9"/>
      <c r="AA65" s="9"/>
      <c r="AB65" s="9"/>
      <c r="AC65" s="9"/>
      <c r="AD65" s="9"/>
      <c r="AE65" s="9"/>
      <c r="AF65" s="9"/>
    </row>
    <row r="66" spans="1:32" ht="28" x14ac:dyDescent="0.4">
      <c r="A66" s="9"/>
      <c r="B66" s="9"/>
      <c r="C66" s="35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31"/>
      <c r="S66" s="31"/>
      <c r="T66" s="31"/>
      <c r="U66" s="31"/>
      <c r="V66" s="31"/>
      <c r="W66" s="31"/>
      <c r="X66" s="31"/>
      <c r="Y66" s="22"/>
      <c r="Z66" s="9"/>
      <c r="AA66" s="9"/>
      <c r="AB66" s="9"/>
      <c r="AC66" s="9"/>
      <c r="AD66" s="9"/>
      <c r="AE66" s="9"/>
      <c r="AF66" s="9"/>
    </row>
    <row r="67" spans="1:32" ht="28" x14ac:dyDescent="0.4">
      <c r="A67" s="9"/>
      <c r="B67" s="9"/>
      <c r="C67" s="35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31"/>
      <c r="S67" s="31"/>
      <c r="T67" s="31"/>
      <c r="U67" s="31"/>
      <c r="V67" s="31"/>
      <c r="W67" s="31"/>
      <c r="X67" s="31"/>
      <c r="Y67" s="22"/>
      <c r="Z67" s="9"/>
      <c r="AA67" s="9"/>
      <c r="AB67" s="9"/>
      <c r="AC67" s="9"/>
      <c r="AD67" s="9"/>
      <c r="AE67" s="9"/>
      <c r="AF67" s="9"/>
    </row>
    <row r="68" spans="1:32" ht="28" x14ac:dyDescent="0.4">
      <c r="A68" s="9"/>
      <c r="B68" s="9"/>
      <c r="C68" s="35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31"/>
      <c r="S68" s="31"/>
      <c r="T68" s="31"/>
      <c r="U68" s="31"/>
      <c r="V68" s="31"/>
      <c r="W68" s="31"/>
      <c r="X68" s="31"/>
      <c r="Y68" s="22"/>
      <c r="Z68" s="9"/>
      <c r="AA68" s="9"/>
      <c r="AB68" s="9"/>
      <c r="AC68" s="9"/>
      <c r="AD68" s="9"/>
      <c r="AE68" s="9"/>
      <c r="AF68" s="9"/>
    </row>
    <row r="69" spans="1:32" ht="28" x14ac:dyDescent="0.4">
      <c r="A69" s="9"/>
      <c r="B69" s="9"/>
      <c r="C69" s="35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31"/>
      <c r="S69" s="31"/>
      <c r="T69" s="31"/>
      <c r="U69" s="31"/>
      <c r="V69" s="31"/>
      <c r="W69" s="31"/>
      <c r="X69" s="31"/>
      <c r="Y69" s="22"/>
      <c r="Z69" s="9"/>
      <c r="AA69" s="9"/>
      <c r="AB69" s="9"/>
      <c r="AC69" s="9"/>
      <c r="AD69" s="9"/>
      <c r="AE69" s="9"/>
      <c r="AF69" s="9"/>
    </row>
    <row r="70" spans="1:32" ht="28" x14ac:dyDescent="0.4">
      <c r="A70" s="9"/>
      <c r="B70" s="9"/>
      <c r="C70" s="35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31"/>
      <c r="S70" s="31"/>
      <c r="T70" s="31"/>
      <c r="U70" s="31"/>
      <c r="V70" s="31"/>
      <c r="W70" s="31"/>
      <c r="X70" s="31"/>
      <c r="Y70" s="22"/>
      <c r="Z70" s="9"/>
      <c r="AA70" s="9"/>
      <c r="AB70" s="9"/>
      <c r="AC70" s="9"/>
      <c r="AD70" s="9"/>
      <c r="AE70" s="9"/>
      <c r="AF70" s="9"/>
    </row>
    <row r="71" spans="1:32" ht="28" x14ac:dyDescent="0.4">
      <c r="A71" s="9"/>
      <c r="B71" s="9"/>
      <c r="C71" s="35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31"/>
      <c r="S71" s="31"/>
      <c r="T71" s="31"/>
      <c r="U71" s="31"/>
      <c r="V71" s="31"/>
      <c r="W71" s="31"/>
      <c r="X71" s="31"/>
      <c r="Y71" s="22"/>
      <c r="Z71" s="9"/>
      <c r="AA71" s="9"/>
      <c r="AB71" s="9"/>
      <c r="AC71" s="9"/>
      <c r="AD71" s="9"/>
      <c r="AE71" s="9"/>
      <c r="AF71" s="9"/>
    </row>
    <row r="72" spans="1:32" ht="28" x14ac:dyDescent="0.4">
      <c r="A72" s="9"/>
      <c r="B72" s="9"/>
      <c r="C72" s="35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31"/>
      <c r="S72" s="31"/>
      <c r="T72" s="31"/>
      <c r="U72" s="31"/>
      <c r="V72" s="31"/>
      <c r="W72" s="31"/>
      <c r="X72" s="31"/>
      <c r="Y72" s="22"/>
      <c r="Z72" s="9"/>
      <c r="AA72" s="9"/>
      <c r="AB72" s="9"/>
      <c r="AC72" s="9"/>
      <c r="AD72" s="9"/>
      <c r="AE72" s="9"/>
      <c r="AF72" s="9"/>
    </row>
    <row r="73" spans="1:32" ht="28" x14ac:dyDescent="0.4">
      <c r="A73" s="9"/>
      <c r="B73" s="9"/>
      <c r="C73" s="35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31"/>
      <c r="S73" s="31"/>
      <c r="T73" s="31"/>
      <c r="U73" s="31"/>
      <c r="V73" s="31"/>
      <c r="W73" s="31"/>
      <c r="X73" s="31"/>
      <c r="Y73" s="22"/>
      <c r="Z73" s="9"/>
      <c r="AA73" s="9"/>
      <c r="AB73" s="9"/>
      <c r="AC73" s="9"/>
      <c r="AD73" s="9"/>
      <c r="AE73" s="9"/>
      <c r="AF73" s="9"/>
    </row>
    <row r="74" spans="1:32" ht="28" x14ac:dyDescent="0.4">
      <c r="A74" s="9"/>
      <c r="B74" s="9"/>
      <c r="C74" s="35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31"/>
      <c r="S74" s="31"/>
      <c r="T74" s="31"/>
      <c r="U74" s="31"/>
      <c r="V74" s="31"/>
      <c r="W74" s="31"/>
      <c r="X74" s="31"/>
      <c r="Y74" s="22"/>
      <c r="Z74" s="9"/>
      <c r="AA74" s="9"/>
      <c r="AB74" s="9"/>
      <c r="AC74" s="9"/>
      <c r="AD74" s="9"/>
      <c r="AE74" s="9"/>
      <c r="AF74" s="9"/>
    </row>
    <row r="75" spans="1:32" ht="28" x14ac:dyDescent="0.4">
      <c r="A75" s="9"/>
      <c r="B75" s="9"/>
      <c r="C75" s="35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31"/>
      <c r="S75" s="31"/>
      <c r="T75" s="31"/>
      <c r="U75" s="31"/>
      <c r="V75" s="31"/>
      <c r="W75" s="31"/>
      <c r="X75" s="31"/>
      <c r="Y75" s="22"/>
      <c r="Z75" s="9"/>
      <c r="AA75" s="9"/>
      <c r="AB75" s="9"/>
      <c r="AC75" s="9"/>
      <c r="AD75" s="9"/>
      <c r="AE75" s="9"/>
      <c r="AF75" s="9"/>
    </row>
    <row r="76" spans="1:32" ht="28" x14ac:dyDescent="0.4">
      <c r="A76" s="9"/>
      <c r="B76" s="9"/>
      <c r="C76" s="35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31"/>
      <c r="S76" s="31"/>
      <c r="T76" s="31"/>
      <c r="U76" s="31"/>
      <c r="V76" s="31"/>
      <c r="W76" s="31"/>
      <c r="X76" s="31"/>
      <c r="Y76" s="22"/>
      <c r="Z76" s="9"/>
      <c r="AA76" s="9"/>
      <c r="AB76" s="9"/>
      <c r="AC76" s="9"/>
      <c r="AD76" s="9"/>
      <c r="AE76" s="9"/>
      <c r="AF76" s="9"/>
    </row>
    <row r="77" spans="1:32" ht="28" x14ac:dyDescent="0.4">
      <c r="A77" s="9"/>
      <c r="B77" s="9"/>
      <c r="C77" s="35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31"/>
      <c r="S77" s="31"/>
      <c r="T77" s="31"/>
      <c r="U77" s="31"/>
      <c r="V77" s="31"/>
      <c r="W77" s="31"/>
      <c r="X77" s="31"/>
      <c r="Y77" s="22"/>
      <c r="Z77" s="9"/>
      <c r="AA77" s="9"/>
      <c r="AB77" s="9"/>
      <c r="AC77" s="9"/>
      <c r="AD77" s="9"/>
      <c r="AE77" s="9"/>
      <c r="AF77" s="9"/>
    </row>
    <row r="78" spans="1:32" ht="28" x14ac:dyDescent="0.4">
      <c r="A78" s="9"/>
      <c r="B78" s="9"/>
      <c r="C78" s="35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31"/>
      <c r="S78" s="31"/>
      <c r="T78" s="31"/>
      <c r="U78" s="31"/>
      <c r="V78" s="31"/>
      <c r="W78" s="31"/>
      <c r="X78" s="31"/>
      <c r="Y78" s="22"/>
      <c r="Z78" s="9"/>
      <c r="AA78" s="9"/>
      <c r="AB78" s="9"/>
      <c r="AC78" s="9"/>
      <c r="AD78" s="9"/>
      <c r="AE78" s="9"/>
      <c r="AF78" s="9"/>
    </row>
    <row r="79" spans="1:32" ht="28" x14ac:dyDescent="0.4">
      <c r="A79" s="9"/>
      <c r="B79" s="9"/>
      <c r="C79" s="35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31"/>
      <c r="S79" s="31"/>
      <c r="T79" s="31"/>
      <c r="U79" s="31"/>
      <c r="V79" s="31"/>
      <c r="W79" s="31"/>
      <c r="X79" s="31"/>
      <c r="Y79" s="22"/>
      <c r="Z79" s="9"/>
      <c r="AA79" s="9"/>
      <c r="AB79" s="9"/>
      <c r="AC79" s="9"/>
      <c r="AD79" s="9"/>
      <c r="AE79" s="9"/>
      <c r="AF79" s="9"/>
    </row>
    <row r="80" spans="1:32" ht="28" x14ac:dyDescent="0.4">
      <c r="A80" s="9"/>
      <c r="B80" s="9"/>
      <c r="C80" s="35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31"/>
      <c r="S80" s="31"/>
      <c r="T80" s="31"/>
      <c r="U80" s="31"/>
      <c r="V80" s="31"/>
      <c r="W80" s="31"/>
      <c r="X80" s="31"/>
      <c r="Y80" s="22"/>
      <c r="Z80" s="9"/>
      <c r="AA80" s="9"/>
      <c r="AB80" s="9"/>
      <c r="AC80" s="9"/>
      <c r="AD80" s="9"/>
      <c r="AE80" s="9"/>
      <c r="AF80" s="9"/>
    </row>
    <row r="81" spans="1:32" ht="28" x14ac:dyDescent="0.4">
      <c r="A81" s="9"/>
      <c r="B81" s="9"/>
      <c r="C81" s="35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31"/>
      <c r="S81" s="31"/>
      <c r="T81" s="31"/>
      <c r="U81" s="31"/>
      <c r="V81" s="31"/>
      <c r="W81" s="31"/>
      <c r="X81" s="31"/>
      <c r="Y81" s="22"/>
      <c r="Z81" s="9"/>
      <c r="AA81" s="9"/>
      <c r="AB81" s="9"/>
      <c r="AC81" s="9"/>
      <c r="AD81" s="9"/>
      <c r="AE81" s="9"/>
      <c r="AF81" s="9"/>
    </row>
    <row r="82" spans="1:32" ht="28" x14ac:dyDescent="0.4">
      <c r="A82" s="9"/>
      <c r="B82" s="9"/>
      <c r="C82" s="35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31"/>
      <c r="S82" s="31"/>
      <c r="T82" s="31"/>
      <c r="U82" s="31"/>
      <c r="V82" s="31"/>
      <c r="W82" s="31"/>
      <c r="X82" s="31"/>
      <c r="Y82" s="22"/>
      <c r="Z82" s="9"/>
      <c r="AA82" s="9"/>
      <c r="AB82" s="9"/>
      <c r="AC82" s="9"/>
      <c r="AD82" s="9"/>
      <c r="AE82" s="9"/>
      <c r="AF82" s="9"/>
    </row>
    <row r="83" spans="1:32" ht="28" x14ac:dyDescent="0.4">
      <c r="A83" s="9"/>
      <c r="B83" s="9"/>
      <c r="C83" s="35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31"/>
      <c r="S83" s="31"/>
      <c r="T83" s="31"/>
      <c r="U83" s="31"/>
      <c r="V83" s="31"/>
      <c r="W83" s="31"/>
      <c r="X83" s="31"/>
      <c r="Y83" s="22"/>
      <c r="Z83" s="9"/>
      <c r="AA83" s="9"/>
      <c r="AB83" s="9"/>
      <c r="AC83" s="9"/>
      <c r="AD83" s="9"/>
      <c r="AE83" s="9"/>
      <c r="AF83" s="9"/>
    </row>
    <row r="84" spans="1:32" ht="28" x14ac:dyDescent="0.4">
      <c r="A84" s="9"/>
      <c r="B84" s="9"/>
      <c r="C84" s="35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31"/>
      <c r="S84" s="31"/>
      <c r="T84" s="31"/>
      <c r="U84" s="31"/>
      <c r="V84" s="31"/>
      <c r="W84" s="31"/>
      <c r="X84" s="31"/>
      <c r="Y84" s="22"/>
      <c r="Z84" s="9"/>
      <c r="AA84" s="9"/>
      <c r="AB84" s="9"/>
      <c r="AC84" s="9"/>
      <c r="AD84" s="9"/>
      <c r="AE84" s="9"/>
      <c r="AF84" s="9"/>
    </row>
    <row r="85" spans="1:32" ht="28" x14ac:dyDescent="0.4">
      <c r="A85" s="9"/>
      <c r="B85" s="9"/>
      <c r="C85" s="35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31"/>
      <c r="S85" s="31"/>
      <c r="T85" s="31"/>
      <c r="U85" s="31"/>
      <c r="V85" s="31"/>
      <c r="W85" s="31"/>
      <c r="X85" s="31"/>
      <c r="Y85" s="22"/>
      <c r="Z85" s="9"/>
      <c r="AA85" s="9"/>
      <c r="AB85" s="9"/>
      <c r="AC85" s="9"/>
      <c r="AD85" s="9"/>
      <c r="AE85" s="9"/>
      <c r="AF85" s="9"/>
    </row>
    <row r="86" spans="1:32" ht="28" x14ac:dyDescent="0.4">
      <c r="A86" s="9"/>
      <c r="B86" s="9"/>
      <c r="C86" s="35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31"/>
      <c r="S86" s="31"/>
      <c r="T86" s="31"/>
      <c r="U86" s="31"/>
      <c r="V86" s="31"/>
      <c r="W86" s="31"/>
      <c r="X86" s="31"/>
      <c r="Y86" s="22"/>
      <c r="Z86" s="9"/>
      <c r="AA86" s="9"/>
      <c r="AB86" s="9"/>
      <c r="AC86" s="9"/>
      <c r="AD86" s="9"/>
      <c r="AE86" s="9"/>
      <c r="AF86" s="9"/>
    </row>
    <row r="87" spans="1:32" ht="28" x14ac:dyDescent="0.4">
      <c r="A87" s="9"/>
      <c r="B87" s="9"/>
      <c r="C87" s="35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31"/>
      <c r="S87" s="31"/>
      <c r="T87" s="31"/>
      <c r="U87" s="31"/>
      <c r="V87" s="31"/>
      <c r="W87" s="31"/>
      <c r="X87" s="31"/>
      <c r="Y87" s="22"/>
      <c r="Z87" s="9"/>
      <c r="AA87" s="9"/>
      <c r="AB87" s="9"/>
      <c r="AC87" s="9"/>
      <c r="AD87" s="9"/>
      <c r="AE87" s="9"/>
      <c r="AF87" s="9"/>
    </row>
    <row r="88" spans="1:32" ht="28" x14ac:dyDescent="0.4">
      <c r="A88" s="9"/>
      <c r="B88" s="9"/>
      <c r="C88" s="35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31"/>
      <c r="S88" s="31"/>
      <c r="T88" s="31"/>
      <c r="U88" s="31"/>
      <c r="V88" s="31"/>
      <c r="W88" s="31"/>
      <c r="X88" s="31"/>
      <c r="Y88" s="22"/>
      <c r="Z88" s="9"/>
      <c r="AA88" s="9"/>
      <c r="AB88" s="9"/>
      <c r="AC88" s="9"/>
      <c r="AD88" s="9"/>
      <c r="AE88" s="9"/>
      <c r="AF88" s="9"/>
    </row>
    <row r="89" spans="1:32" ht="28" x14ac:dyDescent="0.4">
      <c r="A89" s="9"/>
      <c r="B89" s="9"/>
      <c r="C89" s="35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31"/>
      <c r="S89" s="31"/>
      <c r="T89" s="31"/>
      <c r="U89" s="31"/>
      <c r="V89" s="31"/>
      <c r="W89" s="31"/>
      <c r="X89" s="31"/>
      <c r="Y89" s="22"/>
      <c r="Z89" s="9"/>
      <c r="AA89" s="9"/>
      <c r="AB89" s="9"/>
      <c r="AC89" s="9"/>
      <c r="AD89" s="9"/>
      <c r="AE89" s="9"/>
      <c r="AF89" s="9"/>
    </row>
    <row r="90" spans="1:32" ht="28" x14ac:dyDescent="0.4">
      <c r="A90" s="9"/>
      <c r="B90" s="9"/>
      <c r="C90" s="35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31"/>
      <c r="S90" s="31"/>
      <c r="T90" s="31"/>
      <c r="U90" s="31"/>
      <c r="V90" s="31"/>
      <c r="W90" s="31"/>
      <c r="X90" s="31"/>
      <c r="Y90" s="22"/>
      <c r="Z90" s="9"/>
      <c r="AA90" s="9"/>
      <c r="AB90" s="9"/>
      <c r="AC90" s="9"/>
      <c r="AD90" s="9"/>
      <c r="AE90" s="9"/>
      <c r="AF90" s="9"/>
    </row>
    <row r="91" spans="1:32" ht="28" x14ac:dyDescent="0.4">
      <c r="A91" s="9"/>
      <c r="B91" s="9"/>
      <c r="C91" s="35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31"/>
      <c r="S91" s="31"/>
      <c r="T91" s="31"/>
      <c r="U91" s="31"/>
      <c r="V91" s="31"/>
      <c r="W91" s="31"/>
      <c r="X91" s="31"/>
      <c r="Y91" s="22"/>
      <c r="Z91" s="9"/>
      <c r="AA91" s="9"/>
      <c r="AB91" s="9"/>
      <c r="AC91" s="9"/>
      <c r="AD91" s="9"/>
      <c r="AE91" s="9"/>
      <c r="AF91" s="9"/>
    </row>
    <row r="92" spans="1:32" ht="28" x14ac:dyDescent="0.4">
      <c r="A92" s="9"/>
      <c r="B92" s="9"/>
      <c r="C92" s="35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31"/>
      <c r="S92" s="31"/>
      <c r="T92" s="31"/>
      <c r="U92" s="31"/>
      <c r="V92" s="31"/>
      <c r="W92" s="31"/>
      <c r="X92" s="31"/>
      <c r="Y92" s="22"/>
      <c r="Z92" s="9"/>
      <c r="AA92" s="9"/>
      <c r="AB92" s="9"/>
      <c r="AC92" s="9"/>
      <c r="AD92" s="9"/>
      <c r="AE92" s="9"/>
      <c r="AF92" s="9"/>
    </row>
    <row r="93" spans="1:32" ht="28" x14ac:dyDescent="0.4">
      <c r="A93" s="9"/>
      <c r="B93" s="9"/>
      <c r="C93" s="35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31"/>
      <c r="S93" s="31"/>
      <c r="T93" s="31"/>
      <c r="U93" s="31"/>
      <c r="V93" s="31"/>
      <c r="W93" s="31"/>
      <c r="X93" s="31"/>
      <c r="Y93" s="22"/>
      <c r="Z93" s="9"/>
      <c r="AA93" s="9"/>
      <c r="AB93" s="9"/>
      <c r="AC93" s="9"/>
      <c r="AD93" s="9"/>
      <c r="AE93" s="9"/>
      <c r="AF93" s="9"/>
    </row>
    <row r="94" spans="1:32" ht="28" x14ac:dyDescent="0.4">
      <c r="A94" s="9"/>
      <c r="B94" s="9"/>
      <c r="C94" s="35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31"/>
      <c r="S94" s="31"/>
      <c r="T94" s="31"/>
      <c r="U94" s="31"/>
      <c r="V94" s="31"/>
      <c r="W94" s="31"/>
      <c r="X94" s="31"/>
      <c r="Y94" s="22"/>
      <c r="Z94" s="9"/>
      <c r="AA94" s="9"/>
      <c r="AB94" s="9"/>
      <c r="AC94" s="9"/>
      <c r="AD94" s="9"/>
      <c r="AE94" s="9"/>
      <c r="AF94" s="9"/>
    </row>
    <row r="95" spans="1:32" ht="28" x14ac:dyDescent="0.4">
      <c r="A95" s="9"/>
      <c r="B95" s="9"/>
      <c r="C95" s="35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31"/>
      <c r="S95" s="31"/>
      <c r="T95" s="31"/>
      <c r="U95" s="31"/>
      <c r="V95" s="31"/>
      <c r="W95" s="31"/>
      <c r="X95" s="31"/>
      <c r="Y95" s="22"/>
      <c r="Z95" s="9"/>
      <c r="AA95" s="9"/>
      <c r="AB95" s="9"/>
      <c r="AC95" s="9"/>
      <c r="AD95" s="9"/>
      <c r="AE95" s="9"/>
      <c r="AF95" s="9"/>
    </row>
    <row r="96" spans="1:32" ht="28" x14ac:dyDescent="0.4">
      <c r="A96" s="9"/>
      <c r="B96" s="9"/>
      <c r="C96" s="35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31"/>
      <c r="S96" s="31"/>
      <c r="T96" s="31"/>
      <c r="U96" s="31"/>
      <c r="V96" s="31"/>
      <c r="W96" s="31"/>
      <c r="X96" s="31"/>
      <c r="Y96" s="22"/>
      <c r="Z96" s="9"/>
      <c r="AA96" s="9"/>
      <c r="AB96" s="9"/>
      <c r="AC96" s="9"/>
      <c r="AD96" s="9"/>
      <c r="AE96" s="9"/>
      <c r="AF96" s="9"/>
    </row>
    <row r="97" spans="1:32" ht="28" x14ac:dyDescent="0.4">
      <c r="A97" s="9"/>
      <c r="B97" s="9"/>
      <c r="C97" s="35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31"/>
      <c r="S97" s="31"/>
      <c r="T97" s="31"/>
      <c r="U97" s="31"/>
      <c r="V97" s="31"/>
      <c r="W97" s="31"/>
      <c r="X97" s="31"/>
      <c r="Y97" s="22"/>
      <c r="Z97" s="9"/>
      <c r="AA97" s="9"/>
      <c r="AB97" s="9"/>
      <c r="AC97" s="9"/>
      <c r="AD97" s="9"/>
      <c r="AE97" s="9"/>
      <c r="AF97" s="9"/>
    </row>
    <row r="98" spans="1:32" ht="28" x14ac:dyDescent="0.4">
      <c r="A98" s="9"/>
      <c r="B98" s="9"/>
      <c r="C98" s="35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31"/>
      <c r="S98" s="31"/>
      <c r="T98" s="31"/>
      <c r="U98" s="31"/>
      <c r="V98" s="31"/>
      <c r="W98" s="31"/>
      <c r="X98" s="31"/>
      <c r="Y98" s="22"/>
      <c r="Z98" s="9"/>
      <c r="AA98" s="9"/>
      <c r="AB98" s="9"/>
      <c r="AC98" s="9"/>
      <c r="AD98" s="9"/>
      <c r="AE98" s="9"/>
      <c r="AF98" s="9"/>
    </row>
    <row r="99" spans="1:32" ht="28" x14ac:dyDescent="0.4">
      <c r="A99" s="9"/>
      <c r="B99" s="9"/>
      <c r="C99" s="35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31"/>
      <c r="S99" s="31"/>
      <c r="T99" s="31"/>
      <c r="U99" s="31"/>
      <c r="V99" s="31"/>
      <c r="W99" s="31"/>
      <c r="X99" s="31"/>
      <c r="Y99" s="22"/>
      <c r="Z99" s="9"/>
      <c r="AA99" s="9"/>
      <c r="AB99" s="9"/>
      <c r="AC99" s="9"/>
      <c r="AD99" s="9"/>
      <c r="AE99" s="9"/>
      <c r="AF99" s="9"/>
    </row>
    <row r="100" spans="1:32" ht="28" x14ac:dyDescent="0.4">
      <c r="A100" s="9"/>
      <c r="B100" s="9"/>
      <c r="C100" s="35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31"/>
      <c r="S100" s="31"/>
      <c r="T100" s="31"/>
      <c r="U100" s="31"/>
      <c r="V100" s="31"/>
      <c r="W100" s="31"/>
      <c r="X100" s="31"/>
      <c r="Y100" s="22"/>
      <c r="Z100" s="9"/>
      <c r="AA100" s="9"/>
      <c r="AB100" s="9"/>
      <c r="AC100" s="9"/>
      <c r="AD100" s="9"/>
      <c r="AE100" s="9"/>
      <c r="AF100" s="9"/>
    </row>
    <row r="101" spans="1:32" ht="28" x14ac:dyDescent="0.4">
      <c r="A101" s="9"/>
      <c r="B101" s="9"/>
      <c r="C101" s="35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31"/>
      <c r="S101" s="31"/>
      <c r="T101" s="31"/>
      <c r="U101" s="31"/>
      <c r="V101" s="31"/>
      <c r="W101" s="31"/>
      <c r="X101" s="31"/>
      <c r="Y101" s="22"/>
      <c r="Z101" s="9"/>
      <c r="AA101" s="9"/>
      <c r="AB101" s="9"/>
      <c r="AC101" s="9"/>
      <c r="AD101" s="9"/>
      <c r="AE101" s="9"/>
      <c r="AF101" s="9"/>
    </row>
    <row r="102" spans="1:32" ht="28" x14ac:dyDescent="0.4">
      <c r="A102" s="9"/>
      <c r="B102" s="9"/>
      <c r="C102" s="35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31"/>
      <c r="S102" s="31"/>
      <c r="T102" s="31"/>
      <c r="U102" s="31"/>
      <c r="V102" s="31"/>
      <c r="W102" s="31"/>
      <c r="X102" s="31"/>
      <c r="Y102" s="22"/>
      <c r="Z102" s="9"/>
      <c r="AA102" s="9"/>
      <c r="AB102" s="9"/>
      <c r="AC102" s="9"/>
      <c r="AD102" s="9"/>
      <c r="AE102" s="9"/>
      <c r="AF102" s="9"/>
    </row>
    <row r="103" spans="1:32" ht="28" x14ac:dyDescent="0.4">
      <c r="A103" s="9"/>
      <c r="B103" s="9"/>
      <c r="C103" s="35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31"/>
      <c r="S103" s="31"/>
      <c r="T103" s="31"/>
      <c r="U103" s="31"/>
      <c r="V103" s="31"/>
      <c r="W103" s="31"/>
      <c r="X103" s="31"/>
      <c r="Y103" s="22"/>
      <c r="Z103" s="9"/>
      <c r="AA103" s="9"/>
      <c r="AB103" s="9"/>
      <c r="AC103" s="9"/>
      <c r="AD103" s="9"/>
      <c r="AE103" s="9"/>
      <c r="AF103" s="9"/>
    </row>
    <row r="104" spans="1:32" ht="28" x14ac:dyDescent="0.4">
      <c r="A104" s="9"/>
      <c r="B104" s="9"/>
      <c r="C104" s="35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31"/>
      <c r="S104" s="31"/>
      <c r="T104" s="31"/>
      <c r="U104" s="31"/>
      <c r="V104" s="31"/>
      <c r="W104" s="31"/>
      <c r="X104" s="31"/>
      <c r="Y104" s="22"/>
      <c r="Z104" s="9"/>
      <c r="AA104" s="9"/>
      <c r="AB104" s="9"/>
      <c r="AC104" s="9"/>
      <c r="AD104" s="9"/>
      <c r="AE104" s="9"/>
      <c r="AF104" s="9"/>
    </row>
    <row r="105" spans="1:32" ht="28" x14ac:dyDescent="0.4">
      <c r="A105" s="9"/>
      <c r="B105" s="9"/>
      <c r="C105" s="35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31"/>
      <c r="S105" s="31"/>
      <c r="T105" s="31"/>
      <c r="U105" s="31"/>
      <c r="V105" s="31"/>
      <c r="W105" s="31"/>
      <c r="X105" s="31"/>
      <c r="Y105" s="22"/>
      <c r="Z105" s="9"/>
      <c r="AA105" s="9"/>
      <c r="AB105" s="9"/>
      <c r="AC105" s="9"/>
      <c r="AD105" s="9"/>
      <c r="AE105" s="9"/>
      <c r="AF105" s="9"/>
    </row>
    <row r="106" spans="1:32" ht="28" x14ac:dyDescent="0.4">
      <c r="A106" s="9"/>
      <c r="B106" s="9"/>
      <c r="C106" s="35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31"/>
      <c r="S106" s="31"/>
      <c r="T106" s="31"/>
      <c r="U106" s="31"/>
      <c r="V106" s="31"/>
      <c r="W106" s="31"/>
      <c r="X106" s="31"/>
      <c r="Y106" s="22"/>
      <c r="Z106" s="9"/>
      <c r="AA106" s="9"/>
      <c r="AB106" s="9"/>
      <c r="AC106" s="9"/>
      <c r="AD106" s="9"/>
      <c r="AE106" s="9"/>
      <c r="AF106" s="9"/>
    </row>
    <row r="107" spans="1:32" ht="28" x14ac:dyDescent="0.4">
      <c r="A107" s="9"/>
      <c r="B107" s="9"/>
      <c r="C107" s="35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31"/>
      <c r="S107" s="31"/>
      <c r="T107" s="31"/>
      <c r="U107" s="31"/>
      <c r="V107" s="31"/>
      <c r="W107" s="31"/>
      <c r="X107" s="31"/>
      <c r="Y107" s="22"/>
      <c r="Z107" s="9"/>
      <c r="AA107" s="9"/>
      <c r="AB107" s="9"/>
      <c r="AC107" s="9"/>
      <c r="AD107" s="9"/>
      <c r="AE107" s="9"/>
      <c r="AF107" s="9"/>
    </row>
    <row r="108" spans="1:32" ht="28" x14ac:dyDescent="0.4">
      <c r="A108" s="9"/>
      <c r="B108" s="9"/>
      <c r="C108" s="35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31"/>
      <c r="S108" s="31"/>
      <c r="T108" s="31"/>
      <c r="U108" s="31"/>
      <c r="V108" s="31"/>
      <c r="W108" s="31"/>
      <c r="X108" s="31"/>
      <c r="Y108" s="22"/>
      <c r="Z108" s="9"/>
      <c r="AA108" s="9"/>
      <c r="AB108" s="9"/>
      <c r="AC108" s="9"/>
      <c r="AD108" s="9"/>
      <c r="AE108" s="9"/>
      <c r="AF108" s="9"/>
    </row>
    <row r="109" spans="1:32" ht="28" x14ac:dyDescent="0.4">
      <c r="A109" s="9"/>
      <c r="B109" s="9"/>
      <c r="C109" s="35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31"/>
      <c r="S109" s="31"/>
      <c r="T109" s="31"/>
      <c r="U109" s="31"/>
      <c r="V109" s="31"/>
      <c r="W109" s="31"/>
      <c r="X109" s="31"/>
      <c r="Y109" s="22"/>
      <c r="Z109" s="9"/>
      <c r="AA109" s="9"/>
      <c r="AB109" s="9"/>
      <c r="AC109" s="9"/>
      <c r="AD109" s="9"/>
      <c r="AE109" s="9"/>
      <c r="AF109" s="9"/>
    </row>
    <row r="110" spans="1:32" ht="28" x14ac:dyDescent="0.4">
      <c r="A110" s="9"/>
      <c r="B110" s="9"/>
      <c r="C110" s="3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31"/>
      <c r="S110" s="31"/>
      <c r="T110" s="31"/>
      <c r="U110" s="31"/>
      <c r="V110" s="31"/>
      <c r="W110" s="31"/>
      <c r="X110" s="31"/>
      <c r="Y110" s="22"/>
      <c r="Z110" s="9"/>
      <c r="AA110" s="9"/>
      <c r="AB110" s="9"/>
      <c r="AC110" s="9"/>
      <c r="AD110" s="9"/>
      <c r="AE110" s="9"/>
      <c r="AF110" s="9"/>
    </row>
    <row r="111" spans="1:32" ht="28" x14ac:dyDescent="0.4">
      <c r="A111" s="9"/>
      <c r="B111" s="9"/>
      <c r="C111" s="35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31"/>
      <c r="S111" s="31"/>
      <c r="T111" s="31"/>
      <c r="U111" s="31"/>
      <c r="V111" s="31"/>
      <c r="W111" s="31"/>
      <c r="X111" s="31"/>
      <c r="Y111" s="22"/>
      <c r="Z111" s="9"/>
      <c r="AA111" s="9"/>
      <c r="AB111" s="9"/>
      <c r="AC111" s="9"/>
      <c r="AD111" s="9"/>
      <c r="AE111" s="9"/>
      <c r="AF111" s="9"/>
    </row>
    <row r="112" spans="1:32" ht="28" x14ac:dyDescent="0.4">
      <c r="A112" s="9"/>
      <c r="B112" s="9"/>
      <c r="C112" s="35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31"/>
      <c r="S112" s="31"/>
      <c r="T112" s="31"/>
      <c r="U112" s="31"/>
      <c r="V112" s="31"/>
      <c r="W112" s="31"/>
      <c r="X112" s="31"/>
      <c r="Y112" s="22"/>
      <c r="Z112" s="9"/>
      <c r="AA112" s="9"/>
      <c r="AB112" s="9"/>
      <c r="AC112" s="9"/>
      <c r="AD112" s="9"/>
      <c r="AE112" s="9"/>
      <c r="AF112" s="9"/>
    </row>
    <row r="113" spans="1:32" ht="28" x14ac:dyDescent="0.4">
      <c r="A113" s="9"/>
      <c r="B113" s="9"/>
      <c r="C113" s="35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31"/>
      <c r="S113" s="31"/>
      <c r="T113" s="31"/>
      <c r="U113" s="31"/>
      <c r="V113" s="31"/>
      <c r="W113" s="31"/>
      <c r="X113" s="31"/>
      <c r="Y113" s="22"/>
      <c r="Z113" s="9"/>
      <c r="AA113" s="9"/>
      <c r="AB113" s="9"/>
      <c r="AC113" s="9"/>
      <c r="AD113" s="9"/>
      <c r="AE113" s="9"/>
      <c r="AF113" s="9"/>
    </row>
    <row r="114" spans="1:32" ht="28" x14ac:dyDescent="0.4">
      <c r="A114" s="9"/>
      <c r="B114" s="9"/>
      <c r="C114" s="35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31"/>
      <c r="S114" s="31"/>
      <c r="T114" s="31"/>
      <c r="U114" s="31"/>
      <c r="V114" s="31"/>
      <c r="W114" s="31"/>
      <c r="X114" s="31"/>
      <c r="Y114" s="22"/>
      <c r="Z114" s="9"/>
      <c r="AA114" s="9"/>
      <c r="AB114" s="9"/>
      <c r="AC114" s="9"/>
      <c r="AD114" s="9"/>
      <c r="AE114" s="9"/>
      <c r="AF114" s="9"/>
    </row>
    <row r="115" spans="1:32" ht="28" x14ac:dyDescent="0.4">
      <c r="A115" s="9"/>
      <c r="B115" s="9"/>
      <c r="C115" s="35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31"/>
      <c r="S115" s="31"/>
      <c r="T115" s="31"/>
      <c r="U115" s="31"/>
      <c r="V115" s="31"/>
      <c r="W115" s="31"/>
      <c r="X115" s="31"/>
      <c r="Y115" s="22"/>
      <c r="Z115" s="9"/>
      <c r="AA115" s="9"/>
      <c r="AB115" s="9"/>
      <c r="AC115" s="9"/>
      <c r="AD115" s="9"/>
      <c r="AE115" s="9"/>
      <c r="AF115" s="9"/>
    </row>
    <row r="116" spans="1:32" ht="28" x14ac:dyDescent="0.4">
      <c r="A116" s="9"/>
      <c r="B116" s="9"/>
      <c r="C116" s="35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31"/>
      <c r="S116" s="31"/>
      <c r="T116" s="31"/>
      <c r="U116" s="31"/>
      <c r="V116" s="31"/>
      <c r="W116" s="31"/>
      <c r="X116" s="31"/>
      <c r="Y116" s="22"/>
      <c r="Z116" s="9"/>
      <c r="AA116" s="9"/>
      <c r="AB116" s="9"/>
      <c r="AC116" s="9"/>
      <c r="AD116" s="9"/>
      <c r="AE116" s="9"/>
      <c r="AF116" s="9"/>
    </row>
    <row r="117" spans="1:32" ht="28" x14ac:dyDescent="0.4">
      <c r="A117" s="9"/>
      <c r="B117" s="9"/>
      <c r="C117" s="35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31"/>
      <c r="S117" s="31"/>
      <c r="T117" s="31"/>
      <c r="U117" s="31"/>
      <c r="V117" s="31"/>
      <c r="W117" s="31"/>
      <c r="X117" s="31"/>
      <c r="Y117" s="22"/>
      <c r="Z117" s="9"/>
      <c r="AA117" s="9"/>
      <c r="AB117" s="9"/>
      <c r="AC117" s="9"/>
      <c r="AD117" s="9"/>
      <c r="AE117" s="9"/>
      <c r="AF117" s="9"/>
    </row>
    <row r="118" spans="1:32" ht="28" x14ac:dyDescent="0.4">
      <c r="A118" s="9"/>
      <c r="B118" s="9"/>
      <c r="C118" s="35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31"/>
      <c r="S118" s="31"/>
      <c r="T118" s="31"/>
      <c r="U118" s="31"/>
      <c r="V118" s="31"/>
      <c r="W118" s="31"/>
      <c r="X118" s="31"/>
      <c r="Y118" s="22"/>
      <c r="Z118" s="9"/>
      <c r="AA118" s="9"/>
      <c r="AB118" s="9"/>
      <c r="AC118" s="9"/>
      <c r="AD118" s="9"/>
      <c r="AE118" s="9"/>
      <c r="AF118" s="9"/>
    </row>
    <row r="119" spans="1:32" ht="28" x14ac:dyDescent="0.4">
      <c r="A119" s="9"/>
      <c r="B119" s="9"/>
      <c r="C119" s="35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31"/>
      <c r="S119" s="31"/>
      <c r="T119" s="31"/>
      <c r="U119" s="31"/>
      <c r="V119" s="31"/>
      <c r="W119" s="31"/>
      <c r="X119" s="31"/>
      <c r="Y119" s="22"/>
      <c r="Z119" s="9"/>
      <c r="AA119" s="9"/>
      <c r="AB119" s="9"/>
      <c r="AC119" s="9"/>
      <c r="AD119" s="9"/>
      <c r="AE119" s="9"/>
      <c r="AF119" s="9"/>
    </row>
    <row r="120" spans="1:32" ht="28" x14ac:dyDescent="0.4">
      <c r="A120" s="9"/>
      <c r="B120" s="9"/>
      <c r="C120" s="35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31"/>
      <c r="S120" s="31"/>
      <c r="T120" s="31"/>
      <c r="U120" s="31"/>
      <c r="V120" s="31"/>
      <c r="W120" s="31"/>
      <c r="X120" s="31"/>
      <c r="Y120" s="22"/>
      <c r="Z120" s="9"/>
      <c r="AA120" s="9"/>
      <c r="AB120" s="9"/>
      <c r="AC120" s="9"/>
      <c r="AD120" s="9"/>
      <c r="AE120" s="9"/>
      <c r="AF120" s="9"/>
    </row>
    <row r="121" spans="1:32" ht="28" x14ac:dyDescent="0.4">
      <c r="A121" s="9"/>
      <c r="B121" s="9"/>
      <c r="C121" s="35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31"/>
      <c r="S121" s="31"/>
      <c r="T121" s="31"/>
      <c r="U121" s="31"/>
      <c r="V121" s="31"/>
      <c r="W121" s="31"/>
      <c r="X121" s="31"/>
      <c r="Y121" s="22"/>
      <c r="Z121" s="9"/>
      <c r="AA121" s="9"/>
      <c r="AB121" s="9"/>
      <c r="AC121" s="9"/>
      <c r="AD121" s="9"/>
      <c r="AE121" s="9"/>
      <c r="AF121" s="9"/>
    </row>
    <row r="122" spans="1:32" ht="28" x14ac:dyDescent="0.4">
      <c r="A122" s="9"/>
      <c r="B122" s="9"/>
      <c r="C122" s="35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31"/>
      <c r="S122" s="31"/>
      <c r="T122" s="31"/>
      <c r="U122" s="31"/>
      <c r="V122" s="31"/>
      <c r="W122" s="31"/>
      <c r="X122" s="31"/>
      <c r="Y122" s="22"/>
      <c r="Z122" s="9"/>
      <c r="AA122" s="9"/>
      <c r="AB122" s="9"/>
      <c r="AC122" s="9"/>
      <c r="AD122" s="9"/>
      <c r="AE122" s="9"/>
      <c r="AF122" s="9"/>
    </row>
    <row r="123" spans="1:32" ht="28" x14ac:dyDescent="0.4">
      <c r="A123" s="9"/>
      <c r="B123" s="9"/>
      <c r="C123" s="35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31"/>
      <c r="S123" s="31"/>
      <c r="T123" s="31"/>
      <c r="U123" s="31"/>
      <c r="V123" s="31"/>
      <c r="W123" s="31"/>
      <c r="X123" s="31"/>
      <c r="Y123" s="22"/>
      <c r="Z123" s="9"/>
      <c r="AA123" s="9"/>
      <c r="AB123" s="9"/>
      <c r="AC123" s="9"/>
      <c r="AD123" s="9"/>
      <c r="AE123" s="9"/>
      <c r="AF123" s="9"/>
    </row>
    <row r="124" spans="1:32" ht="28" x14ac:dyDescent="0.4">
      <c r="A124" s="9"/>
      <c r="B124" s="9"/>
      <c r="C124" s="35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31"/>
      <c r="S124" s="31"/>
      <c r="T124" s="31"/>
      <c r="U124" s="31"/>
      <c r="V124" s="31"/>
      <c r="W124" s="31"/>
      <c r="X124" s="31"/>
      <c r="Y124" s="22"/>
      <c r="Z124" s="9"/>
      <c r="AA124" s="9"/>
      <c r="AB124" s="9"/>
      <c r="AC124" s="9"/>
      <c r="AD124" s="9"/>
      <c r="AE124" s="9"/>
      <c r="AF124" s="9"/>
    </row>
    <row r="125" spans="1:32" ht="28" x14ac:dyDescent="0.4">
      <c r="A125" s="9"/>
      <c r="B125" s="9"/>
      <c r="C125" s="35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31"/>
      <c r="S125" s="31"/>
      <c r="T125" s="31"/>
      <c r="U125" s="31"/>
      <c r="V125" s="31"/>
      <c r="W125" s="31"/>
      <c r="X125" s="31"/>
      <c r="Y125" s="22"/>
      <c r="Z125" s="9"/>
      <c r="AA125" s="9"/>
      <c r="AB125" s="9"/>
      <c r="AC125" s="9"/>
      <c r="AD125" s="9"/>
      <c r="AE125" s="9"/>
      <c r="AF125" s="9"/>
    </row>
    <row r="126" spans="1:32" ht="28" x14ac:dyDescent="0.4">
      <c r="A126" s="9"/>
      <c r="B126" s="9"/>
      <c r="C126" s="35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31"/>
      <c r="S126" s="31"/>
      <c r="T126" s="31"/>
      <c r="U126" s="31"/>
      <c r="V126" s="31"/>
      <c r="W126" s="31"/>
      <c r="X126" s="31"/>
      <c r="Y126" s="22"/>
      <c r="Z126" s="9"/>
      <c r="AA126" s="9"/>
      <c r="AB126" s="9"/>
      <c r="AC126" s="9"/>
      <c r="AD126" s="9"/>
      <c r="AE126" s="9"/>
      <c r="AF126" s="9"/>
    </row>
    <row r="127" spans="1:32" ht="28" x14ac:dyDescent="0.4">
      <c r="A127" s="9"/>
      <c r="B127" s="9"/>
      <c r="C127" s="35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31"/>
      <c r="S127" s="31"/>
      <c r="T127" s="31"/>
      <c r="U127" s="31"/>
      <c r="V127" s="31"/>
      <c r="W127" s="31"/>
      <c r="X127" s="31"/>
      <c r="Y127" s="22"/>
      <c r="Z127" s="9"/>
      <c r="AA127" s="9"/>
      <c r="AB127" s="9"/>
      <c r="AC127" s="9"/>
      <c r="AD127" s="9"/>
      <c r="AE127" s="9"/>
      <c r="AF127" s="9"/>
    </row>
    <row r="128" spans="1:32" ht="28" x14ac:dyDescent="0.4">
      <c r="A128" s="9"/>
      <c r="B128" s="9"/>
      <c r="C128" s="35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31"/>
      <c r="S128" s="31"/>
      <c r="T128" s="31"/>
      <c r="U128" s="31"/>
      <c r="V128" s="31"/>
      <c r="W128" s="31"/>
      <c r="X128" s="31"/>
      <c r="Y128" s="22"/>
      <c r="Z128" s="9"/>
      <c r="AA128" s="9"/>
      <c r="AB128" s="9"/>
      <c r="AC128" s="9"/>
      <c r="AD128" s="9"/>
      <c r="AE128" s="9"/>
      <c r="AF128" s="9"/>
    </row>
    <row r="129" spans="1:32" ht="28" x14ac:dyDescent="0.4">
      <c r="A129" s="9"/>
      <c r="B129" s="9"/>
      <c r="C129" s="35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31"/>
      <c r="S129" s="31"/>
      <c r="T129" s="31"/>
      <c r="U129" s="31"/>
      <c r="V129" s="31"/>
      <c r="W129" s="31"/>
      <c r="X129" s="31"/>
      <c r="Y129" s="22"/>
      <c r="Z129" s="9"/>
      <c r="AA129" s="9"/>
      <c r="AB129" s="9"/>
      <c r="AC129" s="9"/>
      <c r="AD129" s="9"/>
      <c r="AE129" s="9"/>
      <c r="AF129" s="9"/>
    </row>
    <row r="130" spans="1:32" ht="28" x14ac:dyDescent="0.4">
      <c r="A130" s="9"/>
      <c r="B130" s="9"/>
      <c r="C130" s="35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31"/>
      <c r="S130" s="31"/>
      <c r="T130" s="31"/>
      <c r="U130" s="31"/>
      <c r="V130" s="31"/>
      <c r="W130" s="31"/>
      <c r="X130" s="31"/>
      <c r="Y130" s="22"/>
      <c r="Z130" s="9"/>
      <c r="AA130" s="9"/>
      <c r="AB130" s="9"/>
      <c r="AC130" s="9"/>
      <c r="AD130" s="9"/>
      <c r="AE130" s="9"/>
      <c r="AF130" s="9"/>
    </row>
    <row r="131" spans="1:32" ht="28" x14ac:dyDescent="0.4">
      <c r="A131" s="9"/>
      <c r="B131" s="9"/>
      <c r="C131" s="35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31"/>
      <c r="S131" s="31"/>
      <c r="T131" s="31"/>
      <c r="U131" s="31"/>
      <c r="V131" s="31"/>
      <c r="W131" s="31"/>
      <c r="X131" s="31"/>
      <c r="Y131" s="22"/>
      <c r="Z131" s="9"/>
      <c r="AA131" s="9"/>
      <c r="AB131" s="9"/>
      <c r="AC131" s="9"/>
      <c r="AD131" s="9"/>
      <c r="AE131" s="9"/>
      <c r="AF131" s="9"/>
    </row>
    <row r="132" spans="1:32" ht="28" x14ac:dyDescent="0.4">
      <c r="A132" s="9"/>
      <c r="B132" s="9"/>
      <c r="C132" s="35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31"/>
      <c r="S132" s="31"/>
      <c r="T132" s="31"/>
      <c r="U132" s="31"/>
      <c r="V132" s="31"/>
      <c r="W132" s="31"/>
      <c r="X132" s="31"/>
      <c r="Y132" s="22"/>
      <c r="Z132" s="9"/>
      <c r="AA132" s="9"/>
      <c r="AB132" s="9"/>
      <c r="AC132" s="9"/>
      <c r="AD132" s="9"/>
      <c r="AE132" s="9"/>
      <c r="AF132" s="9"/>
    </row>
    <row r="133" spans="1:32" ht="28" x14ac:dyDescent="0.4">
      <c r="A133" s="9"/>
      <c r="B133" s="9"/>
      <c r="C133" s="35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31"/>
      <c r="S133" s="31"/>
      <c r="T133" s="31"/>
      <c r="U133" s="31"/>
      <c r="V133" s="31"/>
      <c r="W133" s="31"/>
      <c r="X133" s="31"/>
      <c r="Y133" s="22"/>
      <c r="Z133" s="9"/>
      <c r="AA133" s="9"/>
      <c r="AB133" s="9"/>
      <c r="AC133" s="9"/>
      <c r="AD133" s="9"/>
      <c r="AE133" s="9"/>
      <c r="AF133" s="9"/>
    </row>
    <row r="134" spans="1:32" ht="28" x14ac:dyDescent="0.4">
      <c r="A134" s="9"/>
      <c r="B134" s="9"/>
      <c r="C134" s="35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31"/>
      <c r="S134" s="31"/>
      <c r="T134" s="31"/>
      <c r="U134" s="31"/>
      <c r="V134" s="31"/>
      <c r="W134" s="31"/>
      <c r="X134" s="31"/>
      <c r="Y134" s="22"/>
      <c r="Z134" s="9"/>
      <c r="AA134" s="9"/>
      <c r="AB134" s="9"/>
      <c r="AC134" s="9"/>
      <c r="AD134" s="9"/>
      <c r="AE134" s="9"/>
      <c r="AF134" s="9"/>
    </row>
    <row r="135" spans="1:32" ht="28" x14ac:dyDescent="0.4">
      <c r="A135" s="9"/>
      <c r="B135" s="9"/>
      <c r="C135" s="35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31"/>
      <c r="S135" s="31"/>
      <c r="T135" s="31"/>
      <c r="U135" s="31"/>
      <c r="V135" s="31"/>
      <c r="W135" s="31"/>
      <c r="X135" s="31"/>
      <c r="Y135" s="22"/>
      <c r="Z135" s="9"/>
      <c r="AA135" s="9"/>
      <c r="AB135" s="9"/>
      <c r="AC135" s="9"/>
      <c r="AD135" s="9"/>
      <c r="AE135" s="9"/>
      <c r="AF135" s="9"/>
    </row>
    <row r="136" spans="1:32" ht="28" x14ac:dyDescent="0.4">
      <c r="A136" s="9"/>
      <c r="B136" s="9"/>
      <c r="C136" s="35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31"/>
      <c r="S136" s="31"/>
      <c r="T136" s="31"/>
      <c r="U136" s="31"/>
      <c r="V136" s="31"/>
      <c r="W136" s="31"/>
      <c r="X136" s="31"/>
      <c r="Y136" s="22"/>
      <c r="Z136" s="9"/>
      <c r="AA136" s="9"/>
      <c r="AB136" s="9"/>
      <c r="AC136" s="9"/>
      <c r="AD136" s="9"/>
      <c r="AE136" s="9"/>
      <c r="AF136" s="9"/>
    </row>
    <row r="137" spans="1:32" ht="28" x14ac:dyDescent="0.4">
      <c r="A137" s="9"/>
      <c r="B137" s="9"/>
      <c r="C137" s="35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31"/>
      <c r="S137" s="31"/>
      <c r="T137" s="31"/>
      <c r="U137" s="31"/>
      <c r="V137" s="31"/>
      <c r="W137" s="31"/>
      <c r="X137" s="31"/>
      <c r="Y137" s="22"/>
      <c r="Z137" s="9"/>
      <c r="AA137" s="9"/>
      <c r="AB137" s="9"/>
      <c r="AC137" s="9"/>
      <c r="AD137" s="9"/>
      <c r="AE137" s="9"/>
      <c r="AF137" s="9"/>
    </row>
    <row r="138" spans="1:32" ht="28" x14ac:dyDescent="0.4">
      <c r="A138" s="9"/>
      <c r="B138" s="9"/>
      <c r="C138" s="35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31"/>
      <c r="S138" s="31"/>
      <c r="T138" s="31"/>
      <c r="U138" s="31"/>
      <c r="V138" s="31"/>
      <c r="W138" s="31"/>
      <c r="X138" s="31"/>
      <c r="Y138" s="22"/>
      <c r="Z138" s="9"/>
      <c r="AA138" s="9"/>
      <c r="AB138" s="9"/>
      <c r="AC138" s="9"/>
      <c r="AD138" s="9"/>
      <c r="AE138" s="9"/>
      <c r="AF138" s="9"/>
    </row>
    <row r="139" spans="1:32" ht="28" x14ac:dyDescent="0.4">
      <c r="A139" s="9"/>
      <c r="B139" s="9"/>
      <c r="C139" s="35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31"/>
      <c r="S139" s="31"/>
      <c r="T139" s="31"/>
      <c r="U139" s="31"/>
      <c r="V139" s="31"/>
      <c r="W139" s="31"/>
      <c r="X139" s="31"/>
      <c r="Y139" s="22"/>
      <c r="Z139" s="9"/>
      <c r="AA139" s="9"/>
      <c r="AB139" s="9"/>
      <c r="AC139" s="9"/>
      <c r="AD139" s="9"/>
      <c r="AE139" s="9"/>
      <c r="AF139" s="9"/>
    </row>
    <row r="140" spans="1:32" ht="28" x14ac:dyDescent="0.4">
      <c r="A140" s="9"/>
      <c r="B140" s="9"/>
      <c r="C140" s="35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31"/>
      <c r="S140" s="31"/>
      <c r="T140" s="31"/>
      <c r="U140" s="31"/>
      <c r="V140" s="31"/>
      <c r="W140" s="31"/>
      <c r="X140" s="31"/>
      <c r="Y140" s="22"/>
      <c r="Z140" s="9"/>
      <c r="AA140" s="9"/>
      <c r="AB140" s="9"/>
      <c r="AC140" s="9"/>
      <c r="AD140" s="9"/>
      <c r="AE140" s="9"/>
      <c r="AF140" s="9"/>
    </row>
    <row r="141" spans="1:32" ht="28" x14ac:dyDescent="0.4">
      <c r="A141" s="9"/>
      <c r="B141" s="9"/>
      <c r="C141" s="35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31"/>
      <c r="S141" s="31"/>
      <c r="T141" s="31"/>
      <c r="U141" s="31"/>
      <c r="V141" s="31"/>
      <c r="W141" s="31"/>
      <c r="X141" s="31"/>
      <c r="Y141" s="22"/>
      <c r="Z141" s="9"/>
      <c r="AA141" s="9"/>
      <c r="AB141" s="9"/>
      <c r="AC141" s="9"/>
      <c r="AD141" s="9"/>
      <c r="AE141" s="9"/>
      <c r="AF141" s="9"/>
    </row>
    <row r="142" spans="1:32" ht="28" x14ac:dyDescent="0.4">
      <c r="A142" s="9"/>
      <c r="B142" s="9"/>
      <c r="C142" s="35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31"/>
      <c r="S142" s="31"/>
      <c r="T142" s="31"/>
      <c r="U142" s="31"/>
      <c r="V142" s="31"/>
      <c r="W142" s="31"/>
      <c r="X142" s="31"/>
      <c r="Y142" s="22"/>
      <c r="Z142" s="9"/>
      <c r="AA142" s="9"/>
      <c r="AB142" s="9"/>
      <c r="AC142" s="9"/>
      <c r="AD142" s="9"/>
      <c r="AE142" s="9"/>
      <c r="AF142" s="9"/>
    </row>
    <row r="143" spans="1:32" ht="28" x14ac:dyDescent="0.4">
      <c r="A143" s="9"/>
      <c r="B143" s="9"/>
      <c r="C143" s="35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31"/>
      <c r="S143" s="31"/>
      <c r="T143" s="31"/>
      <c r="U143" s="31"/>
      <c r="V143" s="31"/>
      <c r="W143" s="31"/>
      <c r="X143" s="31"/>
      <c r="Y143" s="22"/>
      <c r="Z143" s="9"/>
      <c r="AA143" s="9"/>
      <c r="AB143" s="9"/>
      <c r="AC143" s="9"/>
      <c r="AD143" s="9"/>
      <c r="AE143" s="9"/>
      <c r="AF143" s="9"/>
    </row>
    <row r="144" spans="1:32" ht="28" x14ac:dyDescent="0.4">
      <c r="A144" s="9"/>
      <c r="B144" s="9"/>
      <c r="C144" s="35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31"/>
      <c r="S144" s="31"/>
      <c r="T144" s="31"/>
      <c r="U144" s="31"/>
      <c r="V144" s="31"/>
      <c r="W144" s="31"/>
      <c r="X144" s="31"/>
      <c r="Y144" s="22"/>
      <c r="Z144" s="9"/>
      <c r="AA144" s="9"/>
      <c r="AB144" s="9"/>
      <c r="AC144" s="9"/>
      <c r="AD144" s="9"/>
      <c r="AE144" s="9"/>
      <c r="AF144" s="9"/>
    </row>
    <row r="145" spans="1:32" ht="28" x14ac:dyDescent="0.4">
      <c r="A145" s="9"/>
      <c r="B145" s="9"/>
      <c r="C145" s="35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31"/>
      <c r="S145" s="31"/>
      <c r="T145" s="31"/>
      <c r="U145" s="31"/>
      <c r="V145" s="31"/>
      <c r="W145" s="31"/>
      <c r="X145" s="31"/>
      <c r="Y145" s="22"/>
      <c r="Z145" s="9"/>
      <c r="AA145" s="9"/>
      <c r="AB145" s="9"/>
      <c r="AC145" s="9"/>
      <c r="AD145" s="9"/>
      <c r="AE145" s="9"/>
      <c r="AF145" s="9"/>
    </row>
    <row r="146" spans="1:32" ht="28" x14ac:dyDescent="0.4">
      <c r="A146" s="9"/>
      <c r="B146" s="9"/>
      <c r="C146" s="35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31"/>
      <c r="S146" s="31"/>
      <c r="T146" s="31"/>
      <c r="U146" s="31"/>
      <c r="V146" s="31"/>
      <c r="W146" s="31"/>
      <c r="X146" s="31"/>
      <c r="Y146" s="22"/>
      <c r="Z146" s="9"/>
      <c r="AA146" s="9"/>
      <c r="AB146" s="9"/>
      <c r="AC146" s="9"/>
      <c r="AD146" s="9"/>
      <c r="AE146" s="9"/>
      <c r="AF146" s="9"/>
    </row>
    <row r="147" spans="1:32" ht="28" x14ac:dyDescent="0.4">
      <c r="A147" s="9"/>
      <c r="B147" s="9"/>
      <c r="C147" s="35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31"/>
      <c r="S147" s="31"/>
      <c r="T147" s="31"/>
      <c r="U147" s="31"/>
      <c r="V147" s="31"/>
      <c r="W147" s="31"/>
      <c r="X147" s="31"/>
      <c r="Y147" s="22"/>
      <c r="Z147" s="9"/>
      <c r="AA147" s="9"/>
      <c r="AB147" s="9"/>
      <c r="AC147" s="9"/>
      <c r="AD147" s="9"/>
      <c r="AE147" s="9"/>
      <c r="AF147" s="9"/>
    </row>
    <row r="148" spans="1:32" ht="28" x14ac:dyDescent="0.4">
      <c r="A148" s="9"/>
      <c r="B148" s="9"/>
      <c r="C148" s="35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31"/>
      <c r="S148" s="31"/>
      <c r="T148" s="31"/>
      <c r="U148" s="31"/>
      <c r="V148" s="31"/>
      <c r="W148" s="31"/>
      <c r="X148" s="31"/>
      <c r="Y148" s="22"/>
      <c r="Z148" s="9"/>
      <c r="AA148" s="9"/>
      <c r="AB148" s="9"/>
      <c r="AC148" s="9"/>
      <c r="AD148" s="9"/>
      <c r="AE148" s="9"/>
      <c r="AF148" s="9"/>
    </row>
    <row r="149" spans="1:32" ht="28" x14ac:dyDescent="0.4">
      <c r="A149" s="9"/>
      <c r="B149" s="9"/>
      <c r="C149" s="35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31"/>
      <c r="S149" s="31"/>
      <c r="T149" s="31"/>
      <c r="U149" s="31"/>
      <c r="V149" s="31"/>
      <c r="W149" s="31"/>
      <c r="X149" s="31"/>
      <c r="Y149" s="22"/>
      <c r="Z149" s="9"/>
      <c r="AA149" s="9"/>
      <c r="AB149" s="9"/>
      <c r="AC149" s="9"/>
      <c r="AD149" s="9"/>
      <c r="AE149" s="9"/>
      <c r="AF149" s="9"/>
    </row>
    <row r="150" spans="1:32" ht="28" x14ac:dyDescent="0.4">
      <c r="A150" s="9"/>
      <c r="B150" s="9"/>
      <c r="C150" s="35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31"/>
      <c r="S150" s="31"/>
      <c r="T150" s="31"/>
      <c r="U150" s="31"/>
      <c r="V150" s="31"/>
      <c r="W150" s="31"/>
      <c r="X150" s="31"/>
      <c r="Y150" s="22"/>
      <c r="Z150" s="9"/>
      <c r="AA150" s="9"/>
      <c r="AB150" s="9"/>
      <c r="AC150" s="9"/>
      <c r="AD150" s="9"/>
      <c r="AE150" s="9"/>
      <c r="AF150" s="9"/>
    </row>
    <row r="151" spans="1:32" ht="28" x14ac:dyDescent="0.4">
      <c r="A151" s="9"/>
      <c r="B151" s="9"/>
      <c r="C151" s="35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31"/>
      <c r="S151" s="31"/>
      <c r="T151" s="31"/>
      <c r="U151" s="31"/>
      <c r="V151" s="31"/>
      <c r="W151" s="31"/>
      <c r="X151" s="31"/>
      <c r="Y151" s="22"/>
      <c r="Z151" s="9"/>
      <c r="AA151" s="9"/>
      <c r="AB151" s="9"/>
      <c r="AC151" s="9"/>
      <c r="AD151" s="9"/>
      <c r="AE151" s="9"/>
      <c r="AF151" s="9"/>
    </row>
    <row r="152" spans="1:32" ht="28" x14ac:dyDescent="0.4">
      <c r="A152" s="9"/>
      <c r="B152" s="9"/>
      <c r="C152" s="35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31"/>
      <c r="S152" s="31"/>
      <c r="T152" s="31"/>
      <c r="U152" s="31"/>
      <c r="V152" s="31"/>
      <c r="W152" s="31"/>
      <c r="X152" s="31"/>
      <c r="Y152" s="22"/>
      <c r="Z152" s="9"/>
      <c r="AA152" s="9"/>
      <c r="AB152" s="9"/>
      <c r="AC152" s="9"/>
      <c r="AD152" s="9"/>
      <c r="AE152" s="9"/>
      <c r="AF152" s="9"/>
    </row>
    <row r="153" spans="1:32" ht="28" x14ac:dyDescent="0.4">
      <c r="A153" s="9"/>
      <c r="B153" s="9"/>
      <c r="C153" s="35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31"/>
      <c r="S153" s="31"/>
      <c r="T153" s="31"/>
      <c r="U153" s="31"/>
      <c r="V153" s="31"/>
      <c r="W153" s="31"/>
      <c r="X153" s="31"/>
      <c r="Y153" s="22"/>
      <c r="Z153" s="9"/>
      <c r="AA153" s="9"/>
      <c r="AB153" s="9"/>
      <c r="AC153" s="9"/>
      <c r="AD153" s="9"/>
      <c r="AE153" s="9"/>
      <c r="AF153" s="9"/>
    </row>
    <row r="154" spans="1:32" ht="28" x14ac:dyDescent="0.4">
      <c r="A154" s="9"/>
      <c r="B154" s="9"/>
      <c r="C154" s="35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31"/>
      <c r="S154" s="31"/>
      <c r="T154" s="31"/>
      <c r="U154" s="31"/>
      <c r="V154" s="31"/>
      <c r="W154" s="31"/>
      <c r="X154" s="31"/>
      <c r="Y154" s="22"/>
      <c r="Z154" s="9"/>
      <c r="AA154" s="9"/>
      <c r="AB154" s="9"/>
      <c r="AC154" s="9"/>
      <c r="AD154" s="9"/>
      <c r="AE154" s="9"/>
      <c r="AF154" s="9"/>
    </row>
    <row r="155" spans="1:32" ht="28" x14ac:dyDescent="0.4">
      <c r="A155" s="9"/>
      <c r="B155" s="9"/>
      <c r="C155" s="35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31"/>
      <c r="S155" s="31"/>
      <c r="T155" s="31"/>
      <c r="U155" s="31"/>
      <c r="V155" s="31"/>
      <c r="W155" s="31"/>
      <c r="X155" s="31"/>
      <c r="Y155" s="22"/>
      <c r="Z155" s="9"/>
      <c r="AA155" s="9"/>
      <c r="AB155" s="9"/>
      <c r="AC155" s="9"/>
      <c r="AD155" s="9"/>
      <c r="AE155" s="9"/>
      <c r="AF155" s="9"/>
    </row>
    <row r="156" spans="1:32" ht="28" x14ac:dyDescent="0.4">
      <c r="A156" s="9"/>
      <c r="B156" s="9"/>
      <c r="C156" s="35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31"/>
      <c r="S156" s="31"/>
      <c r="T156" s="31"/>
      <c r="U156" s="31"/>
      <c r="V156" s="31"/>
      <c r="W156" s="31"/>
      <c r="X156" s="31"/>
      <c r="Y156" s="22"/>
      <c r="Z156" s="9"/>
      <c r="AA156" s="9"/>
      <c r="AB156" s="9"/>
      <c r="AC156" s="9"/>
      <c r="AD156" s="9"/>
      <c r="AE156" s="9"/>
      <c r="AF156" s="9"/>
    </row>
    <row r="157" spans="1:32" ht="28" x14ac:dyDescent="0.4">
      <c r="A157" s="9"/>
      <c r="B157" s="9"/>
      <c r="C157" s="35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31"/>
      <c r="S157" s="31"/>
      <c r="T157" s="31"/>
      <c r="U157" s="31"/>
      <c r="V157" s="31"/>
      <c r="W157" s="31"/>
      <c r="X157" s="31"/>
      <c r="Y157" s="22"/>
      <c r="Z157" s="9"/>
      <c r="AA157" s="9"/>
      <c r="AB157" s="9"/>
      <c r="AC157" s="9"/>
      <c r="AD157" s="9"/>
      <c r="AE157" s="9"/>
      <c r="AF157" s="9"/>
    </row>
    <row r="158" spans="1:32" ht="28" x14ac:dyDescent="0.4">
      <c r="A158" s="9"/>
      <c r="B158" s="9"/>
      <c r="C158" s="35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31"/>
      <c r="S158" s="31"/>
      <c r="T158" s="31"/>
      <c r="U158" s="31"/>
      <c r="V158" s="31"/>
      <c r="W158" s="31"/>
      <c r="X158" s="31"/>
      <c r="Y158" s="22"/>
      <c r="Z158" s="9"/>
      <c r="AA158" s="9"/>
      <c r="AB158" s="9"/>
      <c r="AC158" s="9"/>
      <c r="AD158" s="9"/>
      <c r="AE158" s="9"/>
      <c r="AF158" s="9"/>
    </row>
    <row r="159" spans="1:32" ht="28" x14ac:dyDescent="0.4">
      <c r="A159" s="9"/>
      <c r="B159" s="9"/>
      <c r="C159" s="35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31"/>
      <c r="S159" s="31"/>
      <c r="T159" s="31"/>
      <c r="U159" s="31"/>
      <c r="V159" s="31"/>
      <c r="W159" s="31"/>
      <c r="X159" s="31"/>
      <c r="Y159" s="22"/>
      <c r="Z159" s="9"/>
      <c r="AA159" s="9"/>
      <c r="AB159" s="9"/>
      <c r="AC159" s="9"/>
      <c r="AD159" s="9"/>
      <c r="AE159" s="9"/>
      <c r="AF159" s="9"/>
    </row>
    <row r="160" spans="1:32" ht="28" x14ac:dyDescent="0.4">
      <c r="A160" s="9"/>
      <c r="B160" s="9"/>
      <c r="C160" s="35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31"/>
      <c r="S160" s="31"/>
      <c r="T160" s="31"/>
      <c r="U160" s="31"/>
      <c r="V160" s="31"/>
      <c r="W160" s="31"/>
      <c r="X160" s="31"/>
      <c r="Y160" s="22"/>
      <c r="Z160" s="9"/>
      <c r="AA160" s="9"/>
      <c r="AB160" s="9"/>
      <c r="AC160" s="9"/>
      <c r="AD160" s="9"/>
      <c r="AE160" s="9"/>
      <c r="AF160" s="9"/>
    </row>
    <row r="161" spans="1:32" ht="28" x14ac:dyDescent="0.4">
      <c r="A161" s="9"/>
      <c r="B161" s="9"/>
      <c r="C161" s="35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31"/>
      <c r="S161" s="31"/>
      <c r="T161" s="31"/>
      <c r="U161" s="31"/>
      <c r="V161" s="31"/>
      <c r="W161" s="31"/>
      <c r="X161" s="31"/>
      <c r="Y161" s="22"/>
      <c r="Z161" s="9"/>
      <c r="AA161" s="9"/>
      <c r="AB161" s="9"/>
      <c r="AC161" s="9"/>
      <c r="AD161" s="9"/>
      <c r="AE161" s="9"/>
      <c r="AF161" s="9"/>
    </row>
    <row r="162" spans="1:32" ht="28" x14ac:dyDescent="0.4">
      <c r="A162" s="9"/>
      <c r="B162" s="9"/>
      <c r="C162" s="35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31"/>
      <c r="S162" s="31"/>
      <c r="T162" s="31"/>
      <c r="U162" s="31"/>
      <c r="V162" s="31"/>
      <c r="W162" s="31"/>
      <c r="X162" s="31"/>
      <c r="Y162" s="22"/>
      <c r="Z162" s="9"/>
      <c r="AA162" s="9"/>
      <c r="AB162" s="9"/>
      <c r="AC162" s="9"/>
      <c r="AD162" s="9"/>
      <c r="AE162" s="9"/>
      <c r="AF162" s="9"/>
    </row>
    <row r="163" spans="1:32" ht="28" x14ac:dyDescent="0.4">
      <c r="A163" s="9"/>
      <c r="B163" s="9"/>
      <c r="C163" s="35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31"/>
      <c r="S163" s="31"/>
      <c r="T163" s="31"/>
      <c r="U163" s="31"/>
      <c r="V163" s="31"/>
      <c r="W163" s="31"/>
      <c r="X163" s="31"/>
      <c r="Y163" s="22"/>
      <c r="Z163" s="9"/>
      <c r="AA163" s="9"/>
      <c r="AB163" s="9"/>
      <c r="AC163" s="9"/>
      <c r="AD163" s="9"/>
      <c r="AE163" s="9"/>
      <c r="AF163" s="9"/>
    </row>
    <row r="164" spans="1:32" ht="28" x14ac:dyDescent="0.4">
      <c r="A164" s="9"/>
      <c r="B164" s="9"/>
      <c r="C164" s="35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31"/>
      <c r="S164" s="31"/>
      <c r="T164" s="31"/>
      <c r="U164" s="31"/>
      <c r="V164" s="31"/>
      <c r="W164" s="31"/>
      <c r="X164" s="31"/>
      <c r="Y164" s="22"/>
      <c r="Z164" s="9"/>
      <c r="AA164" s="9"/>
      <c r="AB164" s="9"/>
      <c r="AC164" s="9"/>
      <c r="AD164" s="9"/>
      <c r="AE164" s="9"/>
      <c r="AF164" s="9"/>
    </row>
    <row r="165" spans="1:32" ht="28" x14ac:dyDescent="0.4">
      <c r="A165" s="9"/>
      <c r="B165" s="9"/>
      <c r="C165" s="35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31"/>
      <c r="S165" s="31"/>
      <c r="T165" s="31"/>
      <c r="U165" s="31"/>
      <c r="V165" s="31"/>
      <c r="W165" s="31"/>
      <c r="X165" s="31"/>
      <c r="Y165" s="22"/>
      <c r="Z165" s="9"/>
      <c r="AA165" s="9"/>
      <c r="AB165" s="9"/>
      <c r="AC165" s="9"/>
      <c r="AD165" s="9"/>
      <c r="AE165" s="9"/>
      <c r="AF165" s="9"/>
    </row>
    <row r="166" spans="1:32" ht="28" x14ac:dyDescent="0.4">
      <c r="A166" s="9"/>
      <c r="B166" s="9"/>
      <c r="C166" s="35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31"/>
      <c r="S166" s="31"/>
      <c r="T166" s="31"/>
      <c r="U166" s="31"/>
      <c r="V166" s="31"/>
      <c r="W166" s="31"/>
      <c r="X166" s="31"/>
      <c r="Y166" s="22"/>
      <c r="Z166" s="9"/>
      <c r="AA166" s="9"/>
      <c r="AB166" s="9"/>
      <c r="AC166" s="9"/>
      <c r="AD166" s="9"/>
      <c r="AE166" s="9"/>
      <c r="AF166" s="9"/>
    </row>
    <row r="167" spans="1:32" ht="28" x14ac:dyDescent="0.4">
      <c r="A167" s="9"/>
      <c r="B167" s="9"/>
      <c r="C167" s="35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31"/>
      <c r="S167" s="31"/>
      <c r="T167" s="31"/>
      <c r="U167" s="31"/>
      <c r="V167" s="31"/>
      <c r="W167" s="31"/>
      <c r="X167" s="31"/>
      <c r="Y167" s="22"/>
      <c r="Z167" s="9"/>
      <c r="AA167" s="9"/>
      <c r="AB167" s="9"/>
      <c r="AC167" s="9"/>
      <c r="AD167" s="9"/>
      <c r="AE167" s="9"/>
      <c r="AF167" s="9"/>
    </row>
    <row r="168" spans="1:32" ht="28" x14ac:dyDescent="0.4">
      <c r="A168" s="9"/>
      <c r="B168" s="9"/>
      <c r="C168" s="35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31"/>
      <c r="S168" s="31"/>
      <c r="T168" s="31"/>
      <c r="U168" s="31"/>
      <c r="V168" s="31"/>
      <c r="W168" s="31"/>
      <c r="X168" s="31"/>
      <c r="Y168" s="22"/>
      <c r="Z168" s="9"/>
      <c r="AA168" s="9"/>
      <c r="AB168" s="9"/>
      <c r="AC168" s="9"/>
      <c r="AD168" s="9"/>
      <c r="AE168" s="9"/>
      <c r="AF168" s="9"/>
    </row>
    <row r="169" spans="1:32" ht="28" x14ac:dyDescent="0.4">
      <c r="A169" s="9"/>
      <c r="B169" s="9"/>
      <c r="C169" s="35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31"/>
      <c r="S169" s="31"/>
      <c r="T169" s="31"/>
      <c r="U169" s="31"/>
      <c r="V169" s="31"/>
      <c r="W169" s="31"/>
      <c r="X169" s="31"/>
      <c r="Y169" s="22"/>
      <c r="Z169" s="9"/>
      <c r="AA169" s="9"/>
      <c r="AB169" s="9"/>
      <c r="AC169" s="9"/>
      <c r="AD169" s="9"/>
      <c r="AE169" s="9"/>
      <c r="AF169" s="9"/>
    </row>
    <row r="170" spans="1:32" ht="28" x14ac:dyDescent="0.4">
      <c r="A170" s="9"/>
      <c r="B170" s="9"/>
      <c r="C170" s="35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31"/>
      <c r="S170" s="31"/>
      <c r="T170" s="31"/>
      <c r="U170" s="31"/>
      <c r="V170" s="31"/>
      <c r="W170" s="31"/>
      <c r="X170" s="31"/>
      <c r="Y170" s="22"/>
      <c r="Z170" s="9"/>
      <c r="AA170" s="9"/>
      <c r="AB170" s="9"/>
      <c r="AC170" s="9"/>
      <c r="AD170" s="9"/>
      <c r="AE170" s="9"/>
      <c r="AF170" s="9"/>
    </row>
    <row r="171" spans="1:32" ht="28" x14ac:dyDescent="0.4">
      <c r="A171" s="9"/>
      <c r="B171" s="9"/>
      <c r="C171" s="35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31"/>
      <c r="S171" s="31"/>
      <c r="T171" s="31"/>
      <c r="U171" s="31"/>
      <c r="V171" s="31"/>
      <c r="W171" s="31"/>
      <c r="X171" s="31"/>
      <c r="Y171" s="22"/>
      <c r="Z171" s="9"/>
      <c r="AA171" s="9"/>
      <c r="AB171" s="9"/>
      <c r="AC171" s="9"/>
      <c r="AD171" s="9"/>
      <c r="AE171" s="9"/>
      <c r="AF171" s="9"/>
    </row>
    <row r="172" spans="1:32" ht="28" x14ac:dyDescent="0.4">
      <c r="A172" s="9"/>
      <c r="B172" s="9"/>
      <c r="C172" s="35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31"/>
      <c r="S172" s="31"/>
      <c r="T172" s="31"/>
      <c r="U172" s="31"/>
      <c r="V172" s="31"/>
      <c r="W172" s="31"/>
      <c r="X172" s="31"/>
      <c r="Y172" s="22"/>
      <c r="Z172" s="9"/>
      <c r="AA172" s="9"/>
      <c r="AB172" s="9"/>
      <c r="AC172" s="9"/>
      <c r="AD172" s="9"/>
      <c r="AE172" s="9"/>
      <c r="AF172" s="9"/>
    </row>
    <row r="173" spans="1:32" ht="28" x14ac:dyDescent="0.4">
      <c r="A173" s="9"/>
      <c r="B173" s="9"/>
      <c r="C173" s="35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31"/>
      <c r="S173" s="31"/>
      <c r="T173" s="31"/>
      <c r="U173" s="31"/>
      <c r="V173" s="31"/>
      <c r="W173" s="31"/>
      <c r="X173" s="31"/>
      <c r="Y173" s="22"/>
      <c r="Z173" s="9"/>
      <c r="AA173" s="9"/>
      <c r="AB173" s="9"/>
      <c r="AC173" s="9"/>
      <c r="AD173" s="9"/>
      <c r="AE173" s="9"/>
      <c r="AF173" s="9"/>
    </row>
    <row r="174" spans="1:32" ht="28" x14ac:dyDescent="0.4">
      <c r="A174" s="9"/>
      <c r="B174" s="9"/>
      <c r="C174" s="35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31"/>
      <c r="S174" s="31"/>
      <c r="T174" s="31"/>
      <c r="U174" s="31"/>
      <c r="V174" s="31"/>
      <c r="W174" s="31"/>
      <c r="X174" s="31"/>
      <c r="Y174" s="22"/>
      <c r="Z174" s="9"/>
      <c r="AA174" s="9"/>
      <c r="AB174" s="9"/>
      <c r="AC174" s="9"/>
      <c r="AD174" s="9"/>
      <c r="AE174" s="9"/>
      <c r="AF174" s="9"/>
    </row>
    <row r="175" spans="1:32" ht="28" x14ac:dyDescent="0.4">
      <c r="A175" s="9"/>
      <c r="B175" s="9"/>
      <c r="C175" s="35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31"/>
      <c r="S175" s="31"/>
      <c r="T175" s="31"/>
      <c r="U175" s="31"/>
      <c r="V175" s="31"/>
      <c r="W175" s="31"/>
      <c r="X175" s="31"/>
      <c r="Y175" s="22"/>
      <c r="Z175" s="9"/>
      <c r="AA175" s="9"/>
      <c r="AB175" s="9"/>
      <c r="AC175" s="9"/>
      <c r="AD175" s="9"/>
      <c r="AE175" s="9"/>
      <c r="AF175" s="9"/>
    </row>
    <row r="176" spans="1:32" ht="28" x14ac:dyDescent="0.4">
      <c r="A176" s="9"/>
      <c r="B176" s="9"/>
      <c r="C176" s="35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31"/>
      <c r="S176" s="31"/>
      <c r="T176" s="31"/>
      <c r="U176" s="31"/>
      <c r="V176" s="31"/>
      <c r="W176" s="31"/>
      <c r="X176" s="31"/>
      <c r="Y176" s="22"/>
      <c r="Z176" s="9"/>
      <c r="AA176" s="9"/>
      <c r="AB176" s="9"/>
      <c r="AC176" s="9"/>
      <c r="AD176" s="9"/>
      <c r="AE176" s="9"/>
      <c r="AF176" s="9"/>
    </row>
    <row r="177" spans="1:32" ht="28" x14ac:dyDescent="0.4">
      <c r="A177" s="9"/>
      <c r="B177" s="9"/>
      <c r="C177" s="35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31"/>
      <c r="S177" s="31"/>
      <c r="T177" s="31"/>
      <c r="U177" s="31"/>
      <c r="V177" s="31"/>
      <c r="W177" s="31"/>
      <c r="X177" s="31"/>
      <c r="Y177" s="22"/>
      <c r="Z177" s="9"/>
      <c r="AA177" s="9"/>
      <c r="AB177" s="9"/>
      <c r="AC177" s="9"/>
      <c r="AD177" s="9"/>
      <c r="AE177" s="9"/>
      <c r="AF177" s="9"/>
    </row>
    <row r="178" spans="1:32" ht="28" x14ac:dyDescent="0.4">
      <c r="A178" s="9"/>
      <c r="B178" s="9"/>
      <c r="C178" s="35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31"/>
      <c r="S178" s="31"/>
      <c r="T178" s="31"/>
      <c r="U178" s="31"/>
      <c r="V178" s="31"/>
      <c r="W178" s="31"/>
      <c r="X178" s="31"/>
      <c r="Y178" s="22"/>
      <c r="Z178" s="9"/>
      <c r="AA178" s="9"/>
      <c r="AB178" s="9"/>
      <c r="AC178" s="9"/>
      <c r="AD178" s="9"/>
      <c r="AE178" s="9"/>
      <c r="AF178" s="9"/>
    </row>
    <row r="179" spans="1:32" ht="28" x14ac:dyDescent="0.4">
      <c r="A179" s="9"/>
      <c r="B179" s="9"/>
      <c r="C179" s="35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31"/>
      <c r="S179" s="31"/>
      <c r="T179" s="31"/>
      <c r="U179" s="31"/>
      <c r="V179" s="31"/>
      <c r="W179" s="31"/>
      <c r="X179" s="31"/>
      <c r="Y179" s="22"/>
      <c r="Z179" s="9"/>
      <c r="AA179" s="9"/>
      <c r="AB179" s="9"/>
      <c r="AC179" s="9"/>
      <c r="AD179" s="9"/>
      <c r="AE179" s="9"/>
      <c r="AF179" s="9"/>
    </row>
    <row r="180" spans="1:32" ht="28" x14ac:dyDescent="0.4">
      <c r="A180" s="9"/>
      <c r="B180" s="9"/>
      <c r="C180" s="35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31"/>
      <c r="S180" s="31"/>
      <c r="T180" s="31"/>
      <c r="U180" s="31"/>
      <c r="V180" s="31"/>
      <c r="W180" s="31"/>
      <c r="X180" s="31"/>
      <c r="Y180" s="22"/>
      <c r="Z180" s="9"/>
      <c r="AA180" s="9"/>
      <c r="AB180" s="9"/>
      <c r="AC180" s="9"/>
      <c r="AD180" s="9"/>
      <c r="AE180" s="9"/>
      <c r="AF180" s="9"/>
    </row>
    <row r="181" spans="1:32" ht="28" x14ac:dyDescent="0.4">
      <c r="A181" s="9"/>
      <c r="B181" s="9"/>
      <c r="C181" s="35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31"/>
      <c r="S181" s="31"/>
      <c r="T181" s="31"/>
      <c r="U181" s="31"/>
      <c r="V181" s="31"/>
      <c r="W181" s="31"/>
      <c r="X181" s="31"/>
      <c r="Y181" s="22"/>
      <c r="Z181" s="9"/>
      <c r="AA181" s="9"/>
      <c r="AB181" s="9"/>
      <c r="AC181" s="9"/>
      <c r="AD181" s="9"/>
      <c r="AE181" s="9"/>
      <c r="AF181" s="9"/>
    </row>
    <row r="182" spans="1:32" ht="28" x14ac:dyDescent="0.4">
      <c r="A182" s="9"/>
      <c r="B182" s="9"/>
      <c r="C182" s="35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31"/>
      <c r="S182" s="31"/>
      <c r="T182" s="31"/>
      <c r="U182" s="31"/>
      <c r="V182" s="31"/>
      <c r="W182" s="31"/>
      <c r="X182" s="31"/>
      <c r="Y182" s="22"/>
      <c r="Z182" s="9"/>
      <c r="AA182" s="9"/>
      <c r="AB182" s="9"/>
      <c r="AC182" s="9"/>
      <c r="AD182" s="9"/>
      <c r="AE182" s="9"/>
      <c r="AF182" s="9"/>
    </row>
    <row r="183" spans="1:32" ht="28" x14ac:dyDescent="0.4">
      <c r="A183" s="9"/>
      <c r="B183" s="9"/>
      <c r="C183" s="35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31"/>
      <c r="S183" s="31"/>
      <c r="T183" s="31"/>
      <c r="U183" s="31"/>
      <c r="V183" s="31"/>
      <c r="W183" s="31"/>
      <c r="X183" s="31"/>
      <c r="Y183" s="22"/>
      <c r="Z183" s="9"/>
      <c r="AA183" s="9"/>
      <c r="AB183" s="9"/>
      <c r="AC183" s="9"/>
      <c r="AD183" s="9"/>
      <c r="AE183" s="9"/>
      <c r="AF183" s="9"/>
    </row>
    <row r="184" spans="1:32" ht="28" x14ac:dyDescent="0.4">
      <c r="A184" s="9"/>
      <c r="B184" s="9"/>
      <c r="C184" s="35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31"/>
      <c r="S184" s="31"/>
      <c r="T184" s="31"/>
      <c r="U184" s="31"/>
      <c r="V184" s="31"/>
      <c r="W184" s="31"/>
      <c r="X184" s="31"/>
      <c r="Y184" s="22"/>
      <c r="Z184" s="9"/>
      <c r="AA184" s="9"/>
      <c r="AB184" s="9"/>
      <c r="AC184" s="9"/>
      <c r="AD184" s="9"/>
      <c r="AE184" s="9"/>
      <c r="AF184" s="9"/>
    </row>
    <row r="185" spans="1:32" ht="28" x14ac:dyDescent="0.4">
      <c r="A185" s="9"/>
      <c r="B185" s="9"/>
      <c r="C185" s="35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31"/>
      <c r="S185" s="31"/>
      <c r="T185" s="31"/>
      <c r="U185" s="31"/>
      <c r="V185" s="31"/>
      <c r="W185" s="31"/>
      <c r="X185" s="31"/>
      <c r="Y185" s="22"/>
      <c r="Z185" s="9"/>
      <c r="AA185" s="9"/>
      <c r="AB185" s="9"/>
      <c r="AC185" s="9"/>
      <c r="AD185" s="9"/>
      <c r="AE185" s="9"/>
      <c r="AF185" s="9"/>
    </row>
    <row r="186" spans="1:32" ht="28" x14ac:dyDescent="0.4">
      <c r="A186" s="9"/>
      <c r="B186" s="9"/>
      <c r="C186" s="35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31"/>
      <c r="S186" s="31"/>
      <c r="T186" s="31"/>
      <c r="U186" s="31"/>
      <c r="V186" s="31"/>
      <c r="W186" s="31"/>
      <c r="X186" s="31"/>
      <c r="Y186" s="22"/>
      <c r="Z186" s="9"/>
      <c r="AA186" s="9"/>
      <c r="AB186" s="9"/>
      <c r="AC186" s="9"/>
      <c r="AD186" s="9"/>
      <c r="AE186" s="9"/>
      <c r="AF186" s="9"/>
    </row>
    <row r="187" spans="1:32" ht="28" x14ac:dyDescent="0.4">
      <c r="A187" s="9"/>
      <c r="B187" s="9"/>
      <c r="C187" s="35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31"/>
      <c r="S187" s="31"/>
      <c r="T187" s="31"/>
      <c r="U187" s="31"/>
      <c r="V187" s="31"/>
      <c r="W187" s="31"/>
      <c r="X187" s="31"/>
      <c r="Y187" s="22"/>
      <c r="Z187" s="9"/>
      <c r="AA187" s="9"/>
      <c r="AB187" s="9"/>
      <c r="AC187" s="9"/>
      <c r="AD187" s="9"/>
      <c r="AE187" s="9"/>
      <c r="AF187" s="9"/>
    </row>
    <row r="188" spans="1:32" ht="28" x14ac:dyDescent="0.4">
      <c r="A188" s="9"/>
      <c r="B188" s="9"/>
      <c r="C188" s="35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31"/>
      <c r="S188" s="31"/>
      <c r="T188" s="31"/>
      <c r="U188" s="31"/>
      <c r="V188" s="31"/>
      <c r="W188" s="31"/>
      <c r="X188" s="31"/>
      <c r="Y188" s="22"/>
      <c r="Z188" s="9"/>
      <c r="AA188" s="9"/>
      <c r="AB188" s="9"/>
      <c r="AC188" s="9"/>
      <c r="AD188" s="9"/>
      <c r="AE188" s="9"/>
      <c r="AF188" s="9"/>
    </row>
    <row r="189" spans="1:32" ht="28" x14ac:dyDescent="0.4">
      <c r="A189" s="9"/>
      <c r="B189" s="9"/>
      <c r="C189" s="35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31"/>
      <c r="S189" s="31"/>
      <c r="T189" s="31"/>
      <c r="U189" s="31"/>
      <c r="V189" s="31"/>
      <c r="W189" s="31"/>
      <c r="X189" s="31"/>
      <c r="Y189" s="22"/>
      <c r="Z189" s="9"/>
      <c r="AA189" s="9"/>
      <c r="AB189" s="9"/>
      <c r="AC189" s="9"/>
      <c r="AD189" s="9"/>
      <c r="AE189" s="9"/>
      <c r="AF189" s="9"/>
    </row>
    <row r="190" spans="1:32" ht="28" x14ac:dyDescent="0.4">
      <c r="A190" s="9"/>
      <c r="B190" s="9"/>
      <c r="C190" s="35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31"/>
      <c r="S190" s="31"/>
      <c r="T190" s="31"/>
      <c r="U190" s="31"/>
      <c r="V190" s="31"/>
      <c r="W190" s="31"/>
      <c r="X190" s="31"/>
      <c r="Y190" s="22"/>
      <c r="Z190" s="9"/>
      <c r="AA190" s="9"/>
      <c r="AB190" s="9"/>
      <c r="AC190" s="9"/>
      <c r="AD190" s="9"/>
      <c r="AE190" s="9"/>
      <c r="AF190" s="9"/>
    </row>
    <row r="191" spans="1:32" ht="28" x14ac:dyDescent="0.4">
      <c r="A191" s="9"/>
      <c r="B191" s="9"/>
      <c r="C191" s="35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31"/>
      <c r="S191" s="31"/>
      <c r="T191" s="31"/>
      <c r="U191" s="31"/>
      <c r="V191" s="31"/>
      <c r="W191" s="31"/>
      <c r="X191" s="31"/>
      <c r="Y191" s="22"/>
      <c r="Z191" s="9"/>
      <c r="AA191" s="9"/>
      <c r="AB191" s="9"/>
      <c r="AC191" s="9"/>
      <c r="AD191" s="9"/>
      <c r="AE191" s="9"/>
      <c r="AF191" s="9"/>
    </row>
    <row r="192" spans="1:32" ht="28" x14ac:dyDescent="0.4">
      <c r="A192" s="9"/>
      <c r="B192" s="9"/>
      <c r="C192" s="35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31"/>
      <c r="S192" s="31"/>
      <c r="T192" s="31"/>
      <c r="U192" s="31"/>
      <c r="V192" s="31"/>
      <c r="W192" s="31"/>
      <c r="X192" s="31"/>
      <c r="Y192" s="22"/>
      <c r="Z192" s="9"/>
      <c r="AA192" s="9"/>
      <c r="AB192" s="9"/>
      <c r="AC192" s="9"/>
      <c r="AD192" s="9"/>
      <c r="AE192" s="9"/>
      <c r="AF192" s="9"/>
    </row>
    <row r="193" spans="1:32" ht="28" x14ac:dyDescent="0.4">
      <c r="A193" s="9"/>
      <c r="B193" s="9"/>
      <c r="C193" s="35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31"/>
      <c r="S193" s="31"/>
      <c r="T193" s="31"/>
      <c r="U193" s="31"/>
      <c r="V193" s="31"/>
      <c r="W193" s="31"/>
      <c r="X193" s="31"/>
      <c r="Y193" s="22"/>
      <c r="Z193" s="9"/>
      <c r="AA193" s="9"/>
      <c r="AB193" s="9"/>
      <c r="AC193" s="9"/>
      <c r="AD193" s="9"/>
      <c r="AE193" s="9"/>
      <c r="AF193" s="9"/>
    </row>
    <row r="194" spans="1:32" ht="28" x14ac:dyDescent="0.4">
      <c r="A194" s="9"/>
      <c r="B194" s="9"/>
      <c r="C194" s="35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31"/>
      <c r="S194" s="31"/>
      <c r="T194" s="31"/>
      <c r="U194" s="31"/>
      <c r="V194" s="31"/>
      <c r="W194" s="31"/>
      <c r="X194" s="31"/>
      <c r="Y194" s="22"/>
      <c r="Z194" s="9"/>
      <c r="AA194" s="9"/>
      <c r="AB194" s="9"/>
      <c r="AC194" s="9"/>
      <c r="AD194" s="9"/>
      <c r="AE194" s="9"/>
      <c r="AF194" s="9"/>
    </row>
    <row r="195" spans="1:32" ht="28" x14ac:dyDescent="0.4">
      <c r="A195" s="9"/>
      <c r="B195" s="9"/>
      <c r="C195" s="35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31"/>
      <c r="S195" s="31"/>
      <c r="T195" s="31"/>
      <c r="U195" s="31"/>
      <c r="V195" s="31"/>
      <c r="W195" s="31"/>
      <c r="X195" s="31"/>
      <c r="Y195" s="22"/>
      <c r="Z195" s="9"/>
      <c r="AA195" s="9"/>
      <c r="AB195" s="9"/>
      <c r="AC195" s="9"/>
      <c r="AD195" s="9"/>
      <c r="AE195" s="9"/>
      <c r="AF195" s="9"/>
    </row>
    <row r="196" spans="1:32" ht="28" x14ac:dyDescent="0.4">
      <c r="A196" s="9"/>
      <c r="B196" s="9"/>
      <c r="C196" s="35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31"/>
      <c r="S196" s="31"/>
      <c r="T196" s="31"/>
      <c r="U196" s="31"/>
      <c r="V196" s="31"/>
      <c r="W196" s="31"/>
      <c r="X196" s="31"/>
      <c r="Y196" s="22"/>
      <c r="Z196" s="9"/>
      <c r="AA196" s="9"/>
      <c r="AB196" s="9"/>
      <c r="AC196" s="9"/>
      <c r="AD196" s="9"/>
      <c r="AE196" s="9"/>
      <c r="AF196" s="9"/>
    </row>
    <row r="197" spans="1:32" ht="28" x14ac:dyDescent="0.4">
      <c r="A197" s="9"/>
      <c r="B197" s="9"/>
      <c r="C197" s="35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31"/>
      <c r="S197" s="31"/>
      <c r="T197" s="31"/>
      <c r="U197" s="31"/>
      <c r="V197" s="31"/>
      <c r="W197" s="31"/>
      <c r="X197" s="31"/>
      <c r="Y197" s="22"/>
      <c r="Z197" s="9"/>
      <c r="AA197" s="9"/>
      <c r="AB197" s="9"/>
      <c r="AC197" s="9"/>
      <c r="AD197" s="9"/>
      <c r="AE197" s="9"/>
      <c r="AF197" s="9"/>
    </row>
    <row r="198" spans="1:32" ht="28" x14ac:dyDescent="0.4">
      <c r="A198" s="9"/>
      <c r="B198" s="9"/>
      <c r="C198" s="35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ht="28" x14ac:dyDescent="0.4">
      <c r="A199" s="9"/>
      <c r="B199" s="9"/>
      <c r="C199" s="35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ht="28" x14ac:dyDescent="0.4">
      <c r="A200" s="9"/>
      <c r="B200" s="9"/>
      <c r="C200" s="35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ht="28" x14ac:dyDescent="0.4">
      <c r="A201" s="9"/>
      <c r="B201" s="9"/>
      <c r="C201" s="35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ht="28" x14ac:dyDescent="0.4">
      <c r="A202" s="9"/>
      <c r="B202" s="9"/>
      <c r="C202" s="35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ht="28" x14ac:dyDescent="0.4">
      <c r="A203" s="9"/>
      <c r="B203" s="9"/>
      <c r="C203" s="35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ht="28" x14ac:dyDescent="0.4">
      <c r="A204" s="9"/>
      <c r="B204" s="9"/>
      <c r="C204" s="35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ht="28" x14ac:dyDescent="0.4">
      <c r="A205" s="9"/>
      <c r="B205" s="9"/>
      <c r="C205" s="35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ht="28" x14ac:dyDescent="0.4">
      <c r="A206" s="9"/>
      <c r="B206" s="9"/>
      <c r="C206" s="35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ht="28" x14ac:dyDescent="0.4">
      <c r="A207" s="9"/>
      <c r="B207" s="9"/>
      <c r="C207" s="35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ht="28" x14ac:dyDescent="0.4">
      <c r="A208" s="9"/>
      <c r="B208" s="9"/>
      <c r="C208" s="35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ht="28" x14ac:dyDescent="0.4">
      <c r="A209" s="9"/>
      <c r="B209" s="9"/>
      <c r="C209" s="35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ht="28" x14ac:dyDescent="0.4">
      <c r="A210" s="9"/>
      <c r="AE210" s="9"/>
      <c r="AF210" s="9"/>
    </row>
    <row r="211" spans="1:32" ht="28" x14ac:dyDescent="0.4">
      <c r="AE211" s="9"/>
    </row>
  </sheetData>
  <mergeCells count="2">
    <mergeCell ref="E2:P2"/>
    <mergeCell ref="R2:AC2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73C7-648B-3844-A0FF-F082C40D9D45}">
  <dimension ref="A1"/>
  <sheetViews>
    <sheetView topLeftCell="AF1" zoomScale="57" workbookViewId="0">
      <selection activeCell="M15" sqref="M1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8440-E2CE-5B4E-81AE-140042A123C4}">
  <dimension ref="C4:O45"/>
  <sheetViews>
    <sheetView topLeftCell="B26" workbookViewId="0">
      <selection activeCell="P44" sqref="P44"/>
    </sheetView>
  </sheetViews>
  <sheetFormatPr baseColWidth="10" defaultRowHeight="16" x14ac:dyDescent="0.2"/>
  <cols>
    <col min="2" max="2" width="17.83203125" customWidth="1"/>
    <col min="3" max="3" width="11.6640625" customWidth="1"/>
    <col min="4" max="7" width="18.6640625" customWidth="1"/>
    <col min="10" max="10" width="15" customWidth="1"/>
    <col min="11" max="11" width="4.1640625" customWidth="1"/>
    <col min="12" max="15" width="18" customWidth="1"/>
  </cols>
  <sheetData>
    <row r="4" spans="3:15" ht="28" x14ac:dyDescent="0.2">
      <c r="D4" s="73" t="s">
        <v>42</v>
      </c>
      <c r="E4" s="73"/>
      <c r="F4" s="73"/>
      <c r="G4" s="73"/>
      <c r="L4" s="73" t="s">
        <v>43</v>
      </c>
      <c r="M4" s="73"/>
      <c r="N4" s="73"/>
      <c r="O4" s="73"/>
    </row>
    <row r="6" spans="3:15" ht="28" x14ac:dyDescent="0.4">
      <c r="C6" s="54"/>
      <c r="D6" s="55" t="s">
        <v>44</v>
      </c>
      <c r="E6" s="55" t="s">
        <v>45</v>
      </c>
      <c r="F6" s="55" t="s">
        <v>46</v>
      </c>
      <c r="G6" s="55" t="s">
        <v>47</v>
      </c>
      <c r="L6" s="55" t="s">
        <v>44</v>
      </c>
      <c r="M6" s="55" t="s">
        <v>45</v>
      </c>
      <c r="N6" s="55" t="s">
        <v>46</v>
      </c>
      <c r="O6" s="55" t="s">
        <v>47</v>
      </c>
    </row>
    <row r="7" spans="3:15" ht="28" x14ac:dyDescent="0.2">
      <c r="C7" s="47" t="s">
        <v>48</v>
      </c>
      <c r="D7">
        <v>59.4</v>
      </c>
      <c r="E7">
        <v>63.6</v>
      </c>
      <c r="F7">
        <v>61.7</v>
      </c>
      <c r="G7">
        <v>58</v>
      </c>
      <c r="J7" s="47" t="s">
        <v>48</v>
      </c>
      <c r="K7" s="2"/>
      <c r="L7" s="64">
        <f>(D7/$D$7)</f>
        <v>1</v>
      </c>
      <c r="M7" s="64">
        <f>(E7/$E$7)</f>
        <v>1</v>
      </c>
      <c r="N7" s="64">
        <f>(F7/$F$7)</f>
        <v>1</v>
      </c>
      <c r="O7" s="3">
        <f>(G7/$G$7)</f>
        <v>1</v>
      </c>
    </row>
    <row r="8" spans="3:15" ht="28" x14ac:dyDescent="0.2">
      <c r="C8" s="47" t="s">
        <v>49</v>
      </c>
      <c r="D8">
        <v>59.8</v>
      </c>
      <c r="E8">
        <v>65</v>
      </c>
      <c r="F8">
        <v>63.6</v>
      </c>
      <c r="G8">
        <v>59.8</v>
      </c>
      <c r="J8" s="47" t="s">
        <v>49</v>
      </c>
      <c r="K8" s="2"/>
      <c r="L8" s="64">
        <f t="shared" ref="L8:L43" si="0">(D8/$D$7)</f>
        <v>1.0067340067340067</v>
      </c>
      <c r="M8" s="64">
        <f t="shared" ref="M8:M43" si="1">(E8/$E$7)</f>
        <v>1.0220125786163521</v>
      </c>
      <c r="N8" s="64">
        <f t="shared" ref="N8:N43" si="2">(F8/$F$7)</f>
        <v>1.0307941653160453</v>
      </c>
      <c r="O8" s="3">
        <f t="shared" ref="O8:O43" si="3">(G8/$G$7)</f>
        <v>1.0310344827586206</v>
      </c>
    </row>
    <row r="9" spans="3:15" s="2" customFormat="1" ht="41" customHeight="1" x14ac:dyDescent="0.2">
      <c r="C9" s="47" t="s">
        <v>50</v>
      </c>
      <c r="D9">
        <v>61.9</v>
      </c>
      <c r="E9">
        <v>66.599999999999994</v>
      </c>
      <c r="F9">
        <v>63.2</v>
      </c>
      <c r="G9">
        <v>60.7</v>
      </c>
      <c r="J9" s="47" t="s">
        <v>50</v>
      </c>
      <c r="L9" s="64">
        <f t="shared" si="0"/>
        <v>1.0420875420875422</v>
      </c>
      <c r="M9" s="64">
        <f t="shared" si="1"/>
        <v>1.0471698113207546</v>
      </c>
      <c r="N9" s="64">
        <f t="shared" si="2"/>
        <v>1.0243111831442464</v>
      </c>
      <c r="O9" s="3">
        <f t="shared" si="3"/>
        <v>1.0465517241379312</v>
      </c>
    </row>
    <row r="10" spans="3:15" s="2" customFormat="1" ht="41" customHeight="1" x14ac:dyDescent="0.2">
      <c r="C10" s="47" t="s">
        <v>51</v>
      </c>
      <c r="D10">
        <v>62.8</v>
      </c>
      <c r="E10">
        <v>66.3</v>
      </c>
      <c r="F10">
        <v>63.2</v>
      </c>
      <c r="G10">
        <v>60.3</v>
      </c>
      <c r="J10" s="47" t="s">
        <v>51</v>
      </c>
      <c r="L10" s="64">
        <f t="shared" si="0"/>
        <v>1.0572390572390573</v>
      </c>
      <c r="M10" s="64">
        <f t="shared" si="1"/>
        <v>1.0424528301886791</v>
      </c>
      <c r="N10" s="64">
        <f t="shared" si="2"/>
        <v>1.0243111831442464</v>
      </c>
      <c r="O10" s="3">
        <f t="shared" si="3"/>
        <v>1.039655172413793</v>
      </c>
    </row>
    <row r="11" spans="3:15" s="2" customFormat="1" ht="41" customHeight="1" x14ac:dyDescent="0.2">
      <c r="C11" s="47" t="s">
        <v>52</v>
      </c>
      <c r="D11">
        <v>63.9</v>
      </c>
      <c r="E11">
        <v>68</v>
      </c>
      <c r="F11">
        <v>65.400000000000006</v>
      </c>
      <c r="G11">
        <v>64</v>
      </c>
      <c r="J11" s="47" t="s">
        <v>52</v>
      </c>
      <c r="L11" s="64">
        <f t="shared" si="0"/>
        <v>1.0757575757575757</v>
      </c>
      <c r="M11" s="64">
        <f t="shared" si="1"/>
        <v>1.0691823899371069</v>
      </c>
      <c r="N11" s="64">
        <f t="shared" si="2"/>
        <v>1.059967585089141</v>
      </c>
      <c r="O11" s="3">
        <f t="shared" si="3"/>
        <v>1.103448275862069</v>
      </c>
    </row>
    <row r="12" spans="3:15" s="2" customFormat="1" ht="41" customHeight="1" x14ac:dyDescent="0.2">
      <c r="C12" s="47" t="s">
        <v>53</v>
      </c>
      <c r="D12">
        <v>64.400000000000006</v>
      </c>
      <c r="E12">
        <v>66.3</v>
      </c>
      <c r="F12">
        <v>64.8</v>
      </c>
      <c r="G12">
        <v>63.8</v>
      </c>
      <c r="J12" s="47" t="s">
        <v>53</v>
      </c>
      <c r="L12" s="64">
        <f t="shared" si="0"/>
        <v>1.0841750841750843</v>
      </c>
      <c r="M12" s="64">
        <f t="shared" si="1"/>
        <v>1.0424528301886791</v>
      </c>
      <c r="N12" s="64">
        <f t="shared" si="2"/>
        <v>1.0502431118314424</v>
      </c>
      <c r="O12" s="3">
        <f t="shared" si="3"/>
        <v>1.0999999999999999</v>
      </c>
    </row>
    <row r="13" spans="3:15" s="2" customFormat="1" ht="41" customHeight="1" x14ac:dyDescent="0.2">
      <c r="C13" s="47" t="s">
        <v>54</v>
      </c>
      <c r="D13">
        <v>64.099999999999994</v>
      </c>
      <c r="E13">
        <v>66.3</v>
      </c>
      <c r="F13">
        <v>67.400000000000006</v>
      </c>
      <c r="G13">
        <v>63.1</v>
      </c>
      <c r="J13" s="47" t="s">
        <v>54</v>
      </c>
      <c r="L13" s="64">
        <f t="shared" si="0"/>
        <v>1.0791245791245792</v>
      </c>
      <c r="M13" s="64">
        <f t="shared" si="1"/>
        <v>1.0424528301886791</v>
      </c>
      <c r="N13" s="64">
        <f t="shared" si="2"/>
        <v>1.0923824959481361</v>
      </c>
      <c r="O13" s="3">
        <f t="shared" si="3"/>
        <v>1.0879310344827586</v>
      </c>
    </row>
    <row r="14" spans="3:15" s="2" customFormat="1" ht="41" customHeight="1" x14ac:dyDescent="0.2">
      <c r="C14" s="47" t="s">
        <v>55</v>
      </c>
      <c r="D14">
        <v>63.5</v>
      </c>
      <c r="E14">
        <v>66.8</v>
      </c>
      <c r="F14">
        <v>68.3</v>
      </c>
      <c r="G14">
        <v>64.400000000000006</v>
      </c>
      <c r="J14" s="47" t="s">
        <v>55</v>
      </c>
      <c r="L14" s="64">
        <f t="shared" si="0"/>
        <v>1.069023569023569</v>
      </c>
      <c r="M14" s="64">
        <f t="shared" si="1"/>
        <v>1.050314465408805</v>
      </c>
      <c r="N14" s="64">
        <f t="shared" si="2"/>
        <v>1.1069692058346838</v>
      </c>
      <c r="O14" s="3">
        <f t="shared" si="3"/>
        <v>1.1103448275862069</v>
      </c>
    </row>
    <row r="15" spans="3:15" s="2" customFormat="1" ht="41" customHeight="1" x14ac:dyDescent="0.2">
      <c r="C15" s="47" t="s">
        <v>56</v>
      </c>
      <c r="D15">
        <v>65.3</v>
      </c>
      <c r="E15">
        <v>67.5</v>
      </c>
      <c r="F15">
        <v>68.900000000000006</v>
      </c>
      <c r="G15">
        <v>63.1</v>
      </c>
      <c r="J15" s="47" t="s">
        <v>56</v>
      </c>
      <c r="L15" s="64">
        <f t="shared" si="0"/>
        <v>1.0993265993265993</v>
      </c>
      <c r="M15" s="64">
        <f t="shared" si="1"/>
        <v>1.0613207547169812</v>
      </c>
      <c r="N15" s="64">
        <f t="shared" si="2"/>
        <v>1.1166936790923825</v>
      </c>
      <c r="O15" s="3">
        <f t="shared" si="3"/>
        <v>1.0879310344827586</v>
      </c>
    </row>
    <row r="16" spans="3:15" s="2" customFormat="1" ht="41" customHeight="1" x14ac:dyDescent="0.2">
      <c r="C16" s="47" t="s">
        <v>57</v>
      </c>
      <c r="D16">
        <v>65.7</v>
      </c>
      <c r="E16">
        <v>68.7</v>
      </c>
      <c r="F16">
        <v>68.3</v>
      </c>
      <c r="G16">
        <v>66.5</v>
      </c>
      <c r="J16" s="47" t="s">
        <v>57</v>
      </c>
      <c r="L16" s="64">
        <f t="shared" si="0"/>
        <v>1.1060606060606062</v>
      </c>
      <c r="M16" s="64">
        <f t="shared" si="1"/>
        <v>1.0801886792452831</v>
      </c>
      <c r="N16" s="64">
        <f t="shared" si="2"/>
        <v>1.1069692058346838</v>
      </c>
      <c r="O16" s="3">
        <f t="shared" si="3"/>
        <v>1.146551724137931</v>
      </c>
    </row>
    <row r="17" spans="3:15" s="2" customFormat="1" ht="41" customHeight="1" x14ac:dyDescent="0.2">
      <c r="C17" s="47" t="s">
        <v>58</v>
      </c>
      <c r="D17">
        <v>66.7</v>
      </c>
      <c r="E17">
        <v>69.599999999999994</v>
      </c>
      <c r="F17">
        <v>70</v>
      </c>
      <c r="G17">
        <v>66.7</v>
      </c>
      <c r="J17" s="47" t="s">
        <v>58</v>
      </c>
      <c r="L17" s="64">
        <f t="shared" si="0"/>
        <v>1.1228956228956231</v>
      </c>
      <c r="M17" s="64">
        <f t="shared" si="1"/>
        <v>1.0943396226415094</v>
      </c>
      <c r="N17" s="64">
        <f t="shared" si="2"/>
        <v>1.1345218800648298</v>
      </c>
      <c r="O17" s="3">
        <f t="shared" si="3"/>
        <v>1.1500000000000001</v>
      </c>
    </row>
    <row r="18" spans="3:15" s="2" customFormat="1" ht="41" customHeight="1" x14ac:dyDescent="0.2">
      <c r="C18" s="47" t="s">
        <v>59</v>
      </c>
      <c r="D18">
        <v>68.400000000000006</v>
      </c>
      <c r="E18">
        <v>70.400000000000006</v>
      </c>
      <c r="F18">
        <v>69</v>
      </c>
      <c r="G18">
        <v>66.400000000000006</v>
      </c>
      <c r="J18" s="47" t="s">
        <v>59</v>
      </c>
      <c r="L18" s="64">
        <f t="shared" si="0"/>
        <v>1.1515151515151516</v>
      </c>
      <c r="M18" s="64">
        <f t="shared" si="1"/>
        <v>1.1069182389937107</v>
      </c>
      <c r="N18" s="64">
        <f t="shared" si="2"/>
        <v>1.1183144246353323</v>
      </c>
      <c r="O18" s="3">
        <f t="shared" si="3"/>
        <v>1.1448275862068966</v>
      </c>
    </row>
    <row r="19" spans="3:15" s="2" customFormat="1" ht="41" customHeight="1" x14ac:dyDescent="0.2">
      <c r="C19" s="47" t="s">
        <v>60</v>
      </c>
      <c r="D19">
        <v>69.2</v>
      </c>
      <c r="E19">
        <v>69.3</v>
      </c>
      <c r="F19">
        <v>69.099999999999994</v>
      </c>
      <c r="G19">
        <v>68.8</v>
      </c>
      <c r="J19" s="47" t="s">
        <v>60</v>
      </c>
      <c r="L19" s="64">
        <f t="shared" si="0"/>
        <v>1.164983164983165</v>
      </c>
      <c r="M19" s="64">
        <f t="shared" si="1"/>
        <v>1.0896226415094339</v>
      </c>
      <c r="N19" s="64">
        <f t="shared" si="2"/>
        <v>1.1199351701782818</v>
      </c>
      <c r="O19" s="3">
        <f t="shared" si="3"/>
        <v>1.1862068965517241</v>
      </c>
    </row>
    <row r="20" spans="3:15" s="2" customFormat="1" ht="41" customHeight="1" x14ac:dyDescent="0.2">
      <c r="C20" s="47" t="s">
        <v>61</v>
      </c>
      <c r="D20">
        <v>71.5</v>
      </c>
      <c r="E20">
        <v>70.8</v>
      </c>
      <c r="F20">
        <v>67.099999999999994</v>
      </c>
      <c r="G20">
        <v>67.3</v>
      </c>
      <c r="J20" s="47" t="s">
        <v>61</v>
      </c>
      <c r="L20" s="64">
        <f t="shared" si="0"/>
        <v>1.2037037037037037</v>
      </c>
      <c r="M20" s="64">
        <f t="shared" si="1"/>
        <v>1.1132075471698113</v>
      </c>
      <c r="N20" s="64">
        <f t="shared" si="2"/>
        <v>1.0875202593192868</v>
      </c>
      <c r="O20" s="3">
        <f t="shared" si="3"/>
        <v>1.1603448275862069</v>
      </c>
    </row>
    <row r="21" spans="3:15" s="2" customFormat="1" ht="41" customHeight="1" x14ac:dyDescent="0.2">
      <c r="C21" s="47" t="s">
        <v>62</v>
      </c>
      <c r="D21">
        <v>72.599999999999994</v>
      </c>
      <c r="E21">
        <v>71.400000000000006</v>
      </c>
      <c r="F21">
        <v>66.5</v>
      </c>
      <c r="G21">
        <v>67</v>
      </c>
      <c r="J21" s="47" t="s">
        <v>62</v>
      </c>
      <c r="L21" s="64">
        <f t="shared" si="0"/>
        <v>1.2222222222222221</v>
      </c>
      <c r="M21" s="64">
        <f t="shared" si="1"/>
        <v>1.1226415094339623</v>
      </c>
      <c r="N21" s="64">
        <f t="shared" si="2"/>
        <v>1.0777957860615883</v>
      </c>
      <c r="O21" s="3">
        <f t="shared" si="3"/>
        <v>1.1551724137931034</v>
      </c>
    </row>
    <row r="22" spans="3:15" s="2" customFormat="1" ht="41" customHeight="1" x14ac:dyDescent="0.2">
      <c r="C22" s="47" t="s">
        <v>63</v>
      </c>
      <c r="D22">
        <v>74.2</v>
      </c>
      <c r="E22">
        <v>71.599999999999994</v>
      </c>
      <c r="F22">
        <v>65.099999999999994</v>
      </c>
      <c r="G22">
        <v>68.2</v>
      </c>
      <c r="J22" s="47" t="s">
        <v>63</v>
      </c>
      <c r="L22" s="64">
        <f t="shared" si="0"/>
        <v>1.2491582491582491</v>
      </c>
      <c r="M22" s="64">
        <f t="shared" si="1"/>
        <v>1.1257861635220126</v>
      </c>
      <c r="N22" s="64">
        <f t="shared" si="2"/>
        <v>1.0551053484602917</v>
      </c>
      <c r="O22" s="3">
        <f t="shared" si="3"/>
        <v>1.1758620689655173</v>
      </c>
    </row>
    <row r="23" spans="3:15" s="2" customFormat="1" ht="41" customHeight="1" x14ac:dyDescent="0.2">
      <c r="C23" s="47" t="s">
        <v>64</v>
      </c>
      <c r="D23">
        <v>74.599999999999994</v>
      </c>
      <c r="E23">
        <v>71.5</v>
      </c>
      <c r="F23">
        <v>65.5</v>
      </c>
      <c r="G23">
        <v>71.2</v>
      </c>
      <c r="J23" s="47" t="s">
        <v>64</v>
      </c>
      <c r="L23" s="64">
        <f t="shared" si="0"/>
        <v>1.2558922558922558</v>
      </c>
      <c r="M23" s="64">
        <f t="shared" si="1"/>
        <v>1.1242138364779874</v>
      </c>
      <c r="N23" s="64">
        <f t="shared" si="2"/>
        <v>1.0615883306320908</v>
      </c>
      <c r="O23" s="3">
        <f t="shared" si="3"/>
        <v>1.2275862068965517</v>
      </c>
    </row>
    <row r="24" spans="3:15" s="2" customFormat="1" ht="41" customHeight="1" x14ac:dyDescent="0.2">
      <c r="C24" s="47" t="s">
        <v>65</v>
      </c>
      <c r="D24">
        <v>77.8</v>
      </c>
      <c r="E24">
        <v>72.099999999999994</v>
      </c>
      <c r="F24">
        <v>67.400000000000006</v>
      </c>
      <c r="G24">
        <v>70.5</v>
      </c>
      <c r="J24" s="47" t="s">
        <v>65</v>
      </c>
      <c r="L24" s="64">
        <f t="shared" si="0"/>
        <v>1.3097643097643097</v>
      </c>
      <c r="M24" s="64">
        <f t="shared" si="1"/>
        <v>1.1336477987421383</v>
      </c>
      <c r="N24" s="64">
        <f t="shared" si="2"/>
        <v>1.0923824959481361</v>
      </c>
      <c r="O24" s="3">
        <f t="shared" si="3"/>
        <v>1.2155172413793103</v>
      </c>
    </row>
    <row r="25" spans="3:15" s="2" customFormat="1" ht="41" customHeight="1" x14ac:dyDescent="0.2">
      <c r="C25" s="47" t="s">
        <v>66</v>
      </c>
      <c r="D25">
        <v>77.8</v>
      </c>
      <c r="E25">
        <v>73.7</v>
      </c>
      <c r="F25">
        <v>66.2</v>
      </c>
      <c r="G25">
        <v>70.3</v>
      </c>
      <c r="J25" s="47" t="s">
        <v>66</v>
      </c>
      <c r="L25" s="64">
        <f t="shared" si="0"/>
        <v>1.3097643097643097</v>
      </c>
      <c r="M25" s="64">
        <f t="shared" si="1"/>
        <v>1.1588050314465408</v>
      </c>
      <c r="N25" s="64">
        <f t="shared" si="2"/>
        <v>1.072933549432739</v>
      </c>
      <c r="O25" s="3">
        <f t="shared" si="3"/>
        <v>1.2120689655172414</v>
      </c>
    </row>
    <row r="26" spans="3:15" s="2" customFormat="1" ht="41" customHeight="1" x14ac:dyDescent="0.2">
      <c r="C26" s="47" t="s">
        <v>67</v>
      </c>
      <c r="D26">
        <v>76.7</v>
      </c>
      <c r="E26">
        <v>70.5</v>
      </c>
      <c r="F26">
        <v>66.8</v>
      </c>
      <c r="G26">
        <v>71.099999999999994</v>
      </c>
      <c r="J26" s="47" t="s">
        <v>67</v>
      </c>
      <c r="L26" s="64">
        <f t="shared" si="0"/>
        <v>1.2912457912457913</v>
      </c>
      <c r="M26" s="64">
        <f t="shared" si="1"/>
        <v>1.1084905660377358</v>
      </c>
      <c r="N26" s="64">
        <f t="shared" si="2"/>
        <v>1.0826580226904374</v>
      </c>
      <c r="O26" s="3">
        <f t="shared" si="3"/>
        <v>1.2258620689655171</v>
      </c>
    </row>
    <row r="27" spans="3:15" s="2" customFormat="1" ht="41" customHeight="1" x14ac:dyDescent="0.2">
      <c r="C27" s="47" t="s">
        <v>68</v>
      </c>
      <c r="D27">
        <v>77.900000000000006</v>
      </c>
      <c r="E27">
        <v>74.400000000000006</v>
      </c>
      <c r="F27">
        <v>67.5</v>
      </c>
      <c r="G27">
        <v>68.2</v>
      </c>
      <c r="J27" s="47" t="s">
        <v>68</v>
      </c>
      <c r="L27" s="64">
        <f t="shared" si="0"/>
        <v>1.3114478114478116</v>
      </c>
      <c r="M27" s="64">
        <f t="shared" si="1"/>
        <v>1.1698113207547169</v>
      </c>
      <c r="N27" s="64">
        <f t="shared" si="2"/>
        <v>1.0940032414910859</v>
      </c>
      <c r="O27" s="3">
        <f t="shared" si="3"/>
        <v>1.1758620689655173</v>
      </c>
    </row>
    <row r="28" spans="3:15" s="2" customFormat="1" ht="41" customHeight="1" x14ac:dyDescent="0.2">
      <c r="C28" s="47" t="s">
        <v>69</v>
      </c>
      <c r="D28">
        <v>75.7</v>
      </c>
      <c r="E28">
        <v>71.8</v>
      </c>
      <c r="F28">
        <v>66.7</v>
      </c>
      <c r="G28">
        <v>70.400000000000006</v>
      </c>
      <c r="J28" s="47" t="s">
        <v>69</v>
      </c>
      <c r="L28" s="64">
        <f t="shared" si="0"/>
        <v>1.2744107744107744</v>
      </c>
      <c r="M28" s="64">
        <f t="shared" si="1"/>
        <v>1.1289308176100628</v>
      </c>
      <c r="N28" s="64">
        <f t="shared" si="2"/>
        <v>1.0810372771474879</v>
      </c>
      <c r="O28" s="3">
        <f t="shared" si="3"/>
        <v>1.2137931034482761</v>
      </c>
    </row>
    <row r="29" spans="3:15" s="2" customFormat="1" ht="41" customHeight="1" x14ac:dyDescent="0.2">
      <c r="C29" s="47" t="s">
        <v>70</v>
      </c>
      <c r="D29">
        <v>77.400000000000006</v>
      </c>
      <c r="E29">
        <v>72.7</v>
      </c>
      <c r="F29">
        <v>66.2</v>
      </c>
      <c r="G29">
        <v>70.400000000000006</v>
      </c>
      <c r="J29" s="47" t="s">
        <v>70</v>
      </c>
      <c r="L29" s="64">
        <f t="shared" si="0"/>
        <v>1.3030303030303032</v>
      </c>
      <c r="M29" s="64">
        <f t="shared" si="1"/>
        <v>1.1430817610062893</v>
      </c>
      <c r="N29" s="64">
        <f t="shared" si="2"/>
        <v>1.072933549432739</v>
      </c>
      <c r="O29" s="3">
        <f t="shared" si="3"/>
        <v>1.2137931034482761</v>
      </c>
    </row>
    <row r="30" spans="3:15" s="2" customFormat="1" ht="41" customHeight="1" x14ac:dyDescent="0.2">
      <c r="C30" s="47" t="s">
        <v>71</v>
      </c>
      <c r="D30">
        <v>78.7</v>
      </c>
      <c r="E30">
        <v>73.2</v>
      </c>
      <c r="F30">
        <v>67.900000000000006</v>
      </c>
      <c r="G30">
        <v>69.8</v>
      </c>
      <c r="J30" s="47" t="s">
        <v>71</v>
      </c>
      <c r="L30" s="64">
        <f t="shared" si="0"/>
        <v>1.324915824915825</v>
      </c>
      <c r="M30" s="64">
        <f t="shared" si="1"/>
        <v>1.1509433962264151</v>
      </c>
      <c r="N30" s="64">
        <f t="shared" si="2"/>
        <v>1.100486223662885</v>
      </c>
      <c r="O30" s="3">
        <f t="shared" si="3"/>
        <v>1.2034482758620688</v>
      </c>
    </row>
    <row r="31" spans="3:15" s="2" customFormat="1" ht="41" customHeight="1" x14ac:dyDescent="0.2">
      <c r="C31" s="47" t="s">
        <v>72</v>
      </c>
      <c r="D31">
        <v>79.7</v>
      </c>
      <c r="E31">
        <v>73.400000000000006</v>
      </c>
      <c r="F31">
        <v>66.2</v>
      </c>
      <c r="G31">
        <v>68.900000000000006</v>
      </c>
      <c r="J31" s="47" t="s">
        <v>72</v>
      </c>
      <c r="L31" s="64">
        <f t="shared" si="0"/>
        <v>1.3417508417508419</v>
      </c>
      <c r="M31" s="64">
        <f t="shared" si="1"/>
        <v>1.1540880503144655</v>
      </c>
      <c r="N31" s="64">
        <f t="shared" si="2"/>
        <v>1.072933549432739</v>
      </c>
      <c r="O31" s="3">
        <f t="shared" si="3"/>
        <v>1.1879310344827587</v>
      </c>
    </row>
    <row r="32" spans="3:15" s="2" customFormat="1" ht="41" customHeight="1" x14ac:dyDescent="0.2">
      <c r="C32" s="47" t="s">
        <v>73</v>
      </c>
      <c r="D32">
        <v>80.099999999999994</v>
      </c>
      <c r="E32">
        <v>74.099999999999994</v>
      </c>
      <c r="F32">
        <v>66.8</v>
      </c>
      <c r="G32">
        <v>69.599999999999994</v>
      </c>
      <c r="J32" s="47" t="s">
        <v>73</v>
      </c>
      <c r="L32" s="64">
        <f t="shared" si="0"/>
        <v>1.3484848484848484</v>
      </c>
      <c r="M32" s="64">
        <f t="shared" si="1"/>
        <v>1.1650943396226414</v>
      </c>
      <c r="N32" s="64">
        <f t="shared" si="2"/>
        <v>1.0826580226904374</v>
      </c>
      <c r="O32" s="3">
        <f t="shared" si="3"/>
        <v>1.2</v>
      </c>
    </row>
    <row r="33" spans="3:15" s="2" customFormat="1" ht="41" customHeight="1" x14ac:dyDescent="0.2">
      <c r="C33" s="47" t="s">
        <v>74</v>
      </c>
      <c r="D33">
        <v>81.599999999999994</v>
      </c>
      <c r="E33">
        <v>74.7</v>
      </c>
      <c r="F33">
        <v>67.599999999999994</v>
      </c>
      <c r="G33">
        <v>72.5</v>
      </c>
      <c r="J33" s="47" t="s">
        <v>74</v>
      </c>
      <c r="L33" s="64">
        <f t="shared" si="0"/>
        <v>1.3737373737373737</v>
      </c>
      <c r="M33" s="64">
        <f t="shared" si="1"/>
        <v>1.1745283018867925</v>
      </c>
      <c r="N33" s="64">
        <f t="shared" si="2"/>
        <v>1.0956239870340354</v>
      </c>
      <c r="O33" s="3">
        <f t="shared" si="3"/>
        <v>1.25</v>
      </c>
    </row>
    <row r="34" spans="3:15" s="2" customFormat="1" ht="41" customHeight="1" x14ac:dyDescent="0.2">
      <c r="C34" s="47" t="s">
        <v>75</v>
      </c>
      <c r="D34">
        <v>80.2</v>
      </c>
      <c r="E34">
        <v>73.2</v>
      </c>
      <c r="F34">
        <v>66.599999999999994</v>
      </c>
      <c r="G34">
        <v>73.2</v>
      </c>
      <c r="J34" s="47" t="s">
        <v>75</v>
      </c>
      <c r="L34" s="64">
        <f t="shared" si="0"/>
        <v>1.3501683501683504</v>
      </c>
      <c r="M34" s="64">
        <f t="shared" si="1"/>
        <v>1.1509433962264151</v>
      </c>
      <c r="N34" s="64">
        <f t="shared" si="2"/>
        <v>1.0794165316045379</v>
      </c>
      <c r="O34" s="3">
        <f t="shared" si="3"/>
        <v>1.2620689655172415</v>
      </c>
    </row>
    <row r="35" spans="3:15" s="2" customFormat="1" ht="41" customHeight="1" x14ac:dyDescent="0.2">
      <c r="C35" s="47" t="s">
        <v>76</v>
      </c>
      <c r="D35">
        <v>80.900000000000006</v>
      </c>
      <c r="E35">
        <v>72.3</v>
      </c>
      <c r="F35">
        <v>66.5</v>
      </c>
      <c r="G35">
        <v>71.5</v>
      </c>
      <c r="J35" s="47" t="s">
        <v>76</v>
      </c>
      <c r="L35" s="64">
        <f t="shared" si="0"/>
        <v>1.361952861952862</v>
      </c>
      <c r="M35" s="64">
        <f t="shared" si="1"/>
        <v>1.1367924528301887</v>
      </c>
      <c r="N35" s="64">
        <f t="shared" si="2"/>
        <v>1.0777957860615883</v>
      </c>
      <c r="O35" s="3">
        <f t="shared" si="3"/>
        <v>1.2327586206896552</v>
      </c>
    </row>
    <row r="36" spans="3:15" s="2" customFormat="1" ht="41" customHeight="1" x14ac:dyDescent="0.2">
      <c r="C36" s="47" t="s">
        <v>77</v>
      </c>
      <c r="D36">
        <v>81.5</v>
      </c>
      <c r="E36">
        <v>73.400000000000006</v>
      </c>
      <c r="F36">
        <v>68.400000000000006</v>
      </c>
      <c r="G36">
        <v>71.8</v>
      </c>
      <c r="J36" s="47" t="s">
        <v>77</v>
      </c>
      <c r="L36" s="64">
        <f t="shared" si="0"/>
        <v>1.3720538720538722</v>
      </c>
      <c r="M36" s="64">
        <f t="shared" si="1"/>
        <v>1.1540880503144655</v>
      </c>
      <c r="N36" s="64">
        <f t="shared" si="2"/>
        <v>1.1085899513776338</v>
      </c>
      <c r="O36" s="3">
        <f t="shared" si="3"/>
        <v>1.2379310344827585</v>
      </c>
    </row>
    <row r="37" spans="3:15" s="2" customFormat="1" ht="41" customHeight="1" x14ac:dyDescent="0.2">
      <c r="C37" s="47" t="s">
        <v>78</v>
      </c>
      <c r="D37">
        <v>83.4</v>
      </c>
      <c r="E37">
        <v>73.099999999999994</v>
      </c>
      <c r="F37">
        <v>69.5</v>
      </c>
      <c r="G37">
        <v>73.5</v>
      </c>
      <c r="J37" s="47" t="s">
        <v>78</v>
      </c>
      <c r="L37" s="64">
        <f t="shared" si="0"/>
        <v>1.4040404040404042</v>
      </c>
      <c r="M37" s="64">
        <f t="shared" si="1"/>
        <v>1.1493710691823897</v>
      </c>
      <c r="N37" s="64">
        <f t="shared" si="2"/>
        <v>1.1264181523500809</v>
      </c>
      <c r="O37" s="3">
        <f t="shared" si="3"/>
        <v>1.2672413793103448</v>
      </c>
    </row>
    <row r="38" spans="3:15" s="2" customFormat="1" ht="41" customHeight="1" x14ac:dyDescent="0.2">
      <c r="C38" s="47" t="s">
        <v>79</v>
      </c>
      <c r="D38">
        <v>81.3</v>
      </c>
      <c r="E38">
        <v>72.8</v>
      </c>
      <c r="F38">
        <v>71</v>
      </c>
      <c r="G38">
        <v>71.599999999999994</v>
      </c>
      <c r="J38" s="47" t="s">
        <v>79</v>
      </c>
      <c r="L38" s="64">
        <f t="shared" si="0"/>
        <v>1.3686868686868687</v>
      </c>
      <c r="M38" s="64">
        <f t="shared" si="1"/>
        <v>1.1446540880503144</v>
      </c>
      <c r="N38" s="64">
        <f t="shared" si="2"/>
        <v>1.1507293354943273</v>
      </c>
      <c r="O38" s="3">
        <f t="shared" si="3"/>
        <v>1.2344827586206895</v>
      </c>
    </row>
    <row r="39" spans="3:15" s="2" customFormat="1" ht="41" customHeight="1" x14ac:dyDescent="0.2">
      <c r="C39" s="47" t="s">
        <v>80</v>
      </c>
      <c r="D39">
        <v>82.2</v>
      </c>
      <c r="E39">
        <v>73.3</v>
      </c>
      <c r="F39">
        <v>71.400000000000006</v>
      </c>
      <c r="G39">
        <v>76.099999999999994</v>
      </c>
      <c r="J39" s="47" t="s">
        <v>80</v>
      </c>
      <c r="L39" s="64">
        <f t="shared" si="0"/>
        <v>1.3838383838383839</v>
      </c>
      <c r="M39" s="64">
        <f t="shared" si="1"/>
        <v>1.1525157232704402</v>
      </c>
      <c r="N39" s="64">
        <f t="shared" si="2"/>
        <v>1.1572123176661264</v>
      </c>
      <c r="O39" s="3">
        <f t="shared" si="3"/>
        <v>1.3120689655172413</v>
      </c>
    </row>
    <row r="40" spans="3:15" s="2" customFormat="1" ht="41" customHeight="1" x14ac:dyDescent="0.2">
      <c r="C40" s="47" t="s">
        <v>81</v>
      </c>
      <c r="D40">
        <v>81.900000000000006</v>
      </c>
      <c r="E40">
        <v>74.2</v>
      </c>
      <c r="F40">
        <v>72.7</v>
      </c>
      <c r="G40">
        <v>73.599999999999994</v>
      </c>
      <c r="J40" s="47" t="s">
        <v>81</v>
      </c>
      <c r="L40" s="64">
        <f t="shared" si="0"/>
        <v>1.3787878787878789</v>
      </c>
      <c r="M40" s="64">
        <f t="shared" si="1"/>
        <v>1.1666666666666667</v>
      </c>
      <c r="N40" s="64">
        <f t="shared" si="2"/>
        <v>1.1782820097244733</v>
      </c>
      <c r="O40" s="3">
        <f t="shared" si="3"/>
        <v>1.2689655172413792</v>
      </c>
    </row>
    <row r="41" spans="3:15" s="2" customFormat="1" ht="41" customHeight="1" x14ac:dyDescent="0.2">
      <c r="C41" s="47" t="s">
        <v>82</v>
      </c>
      <c r="D41">
        <v>82.6</v>
      </c>
      <c r="E41">
        <v>76.5</v>
      </c>
      <c r="F41">
        <v>69.2</v>
      </c>
      <c r="G41">
        <v>75.400000000000006</v>
      </c>
      <c r="J41" s="47" t="s">
        <v>82</v>
      </c>
      <c r="L41" s="64">
        <f t="shared" si="0"/>
        <v>1.3905723905723906</v>
      </c>
      <c r="M41" s="64">
        <f t="shared" si="1"/>
        <v>1.2028301886792452</v>
      </c>
      <c r="N41" s="64">
        <f t="shared" si="2"/>
        <v>1.1215559157212318</v>
      </c>
      <c r="O41" s="3">
        <f t="shared" si="3"/>
        <v>1.3</v>
      </c>
    </row>
    <row r="42" spans="3:15" s="2" customFormat="1" ht="41" customHeight="1" x14ac:dyDescent="0.2">
      <c r="C42" s="47" t="s">
        <v>83</v>
      </c>
      <c r="D42">
        <v>83.1</v>
      </c>
      <c r="E42">
        <v>78.900000000000006</v>
      </c>
      <c r="F42">
        <v>73.400000000000006</v>
      </c>
      <c r="G42">
        <v>77.5</v>
      </c>
      <c r="J42" s="47" t="s">
        <v>83</v>
      </c>
      <c r="L42" s="64">
        <f t="shared" si="0"/>
        <v>1.398989898989899</v>
      </c>
      <c r="M42" s="64">
        <f t="shared" si="1"/>
        <v>1.2405660377358492</v>
      </c>
      <c r="N42" s="64">
        <f t="shared" si="2"/>
        <v>1.1896272285251215</v>
      </c>
      <c r="O42" s="3">
        <f t="shared" si="3"/>
        <v>1.3362068965517242</v>
      </c>
    </row>
    <row r="43" spans="3:15" s="2" customFormat="1" ht="41" customHeight="1" x14ac:dyDescent="0.2">
      <c r="C43" s="61">
        <v>2023</v>
      </c>
      <c r="D43">
        <v>85.3</v>
      </c>
      <c r="E43">
        <v>78.7</v>
      </c>
      <c r="F43">
        <v>75.7</v>
      </c>
      <c r="G43">
        <v>78.8</v>
      </c>
      <c r="J43" s="61">
        <v>2023</v>
      </c>
      <c r="K43"/>
      <c r="L43" s="64">
        <f t="shared" si="0"/>
        <v>1.436026936026936</v>
      </c>
      <c r="M43" s="64">
        <f t="shared" si="1"/>
        <v>1.2374213836477987</v>
      </c>
      <c r="N43" s="64">
        <f t="shared" si="2"/>
        <v>1.2269043760129659</v>
      </c>
      <c r="O43" s="3">
        <f t="shared" si="3"/>
        <v>1.3586206896551725</v>
      </c>
    </row>
    <row r="44" spans="3:15" s="2" customFormat="1" ht="41" customHeight="1" x14ac:dyDescent="0.2">
      <c r="C44"/>
      <c r="D44"/>
      <c r="E44"/>
      <c r="F44"/>
      <c r="G44"/>
      <c r="J44"/>
      <c r="K44"/>
      <c r="L44"/>
      <c r="M44"/>
      <c r="N44"/>
      <c r="O44"/>
    </row>
    <row r="45" spans="3:15" ht="41" customHeight="1" x14ac:dyDescent="0.2"/>
  </sheetData>
  <mergeCells count="2">
    <mergeCell ref="D4:G4"/>
    <mergeCell ref="L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E72C-34CB-C145-8268-EA4F6ADDCE9D}">
  <dimension ref="G15:H23"/>
  <sheetViews>
    <sheetView topLeftCell="C9" workbookViewId="0">
      <selection activeCell="K18" sqref="K18"/>
    </sheetView>
  </sheetViews>
  <sheetFormatPr baseColWidth="10" defaultRowHeight="26" x14ac:dyDescent="0.3"/>
  <cols>
    <col min="1" max="6" width="10.83203125" style="57"/>
    <col min="7" max="7" width="110" style="57" customWidth="1"/>
    <col min="8" max="16384" width="10.83203125" style="57"/>
  </cols>
  <sheetData>
    <row r="15" spans="8:8" x14ac:dyDescent="0.3">
      <c r="H15" s="56">
        <v>2023</v>
      </c>
    </row>
    <row r="17" spans="7:8" ht="46" customHeight="1" x14ac:dyDescent="0.3">
      <c r="G17" s="58" t="s">
        <v>89</v>
      </c>
      <c r="H17" s="59">
        <v>5.4</v>
      </c>
    </row>
    <row r="18" spans="7:8" s="58" customFormat="1" ht="46" customHeight="1" x14ac:dyDescent="0.2">
      <c r="G18" s="58" t="s">
        <v>90</v>
      </c>
      <c r="H18" s="59">
        <v>11.3</v>
      </c>
    </row>
    <row r="19" spans="7:8" s="58" customFormat="1" ht="46" customHeight="1" x14ac:dyDescent="0.2">
      <c r="G19" s="58" t="s">
        <v>84</v>
      </c>
      <c r="H19" s="59">
        <v>6.9</v>
      </c>
    </row>
    <row r="20" spans="7:8" s="58" customFormat="1" ht="46" customHeight="1" x14ac:dyDescent="0.2">
      <c r="G20" s="58" t="s">
        <v>85</v>
      </c>
      <c r="H20" s="59">
        <v>6.9</v>
      </c>
    </row>
    <row r="21" spans="7:8" s="58" customFormat="1" ht="46" customHeight="1" x14ac:dyDescent="0.2">
      <c r="G21" s="58" t="s">
        <v>86</v>
      </c>
      <c r="H21" s="59">
        <v>4.3</v>
      </c>
    </row>
    <row r="22" spans="7:8" ht="46" customHeight="1" x14ac:dyDescent="0.3">
      <c r="G22" s="57" t="s">
        <v>87</v>
      </c>
      <c r="H22" s="60">
        <v>4.3</v>
      </c>
    </row>
    <row r="23" spans="7:8" ht="46" customHeight="1" x14ac:dyDescent="0.3">
      <c r="G23" s="57" t="s">
        <v>88</v>
      </c>
      <c r="H23" s="60">
        <v>3.9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3D76-458C-2248-B4F2-1BBFECD95472}">
  <dimension ref="A1"/>
  <sheetViews>
    <sheetView topLeftCell="E62" zoomScaleNormal="100" workbookViewId="0">
      <selection activeCell="L16" sqref="L1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3FC6-33A6-1447-B287-737C68750508}">
  <dimension ref="A1"/>
  <sheetViews>
    <sheetView topLeftCell="A55" zoomScale="75" workbookViewId="0">
      <selection activeCell="Z79" sqref="Z7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7952-4212-094B-BC19-3E3C9975495A}">
  <dimension ref="A1"/>
  <sheetViews>
    <sheetView topLeftCell="A4" workbookViewId="0">
      <selection activeCell="P39" sqref="P3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</vt:lpstr>
      <vt:lpstr>Loyer</vt:lpstr>
      <vt:lpstr>graphique loyers</vt:lpstr>
      <vt:lpstr>IPC</vt:lpstr>
      <vt:lpstr>Graphe IPC</vt:lpstr>
      <vt:lpstr>Activite</vt:lpstr>
      <vt:lpstr>scolarité 2</vt:lpstr>
      <vt:lpstr>Graphe activite 1</vt:lpstr>
      <vt:lpstr>Grpahe activite 2</vt:lpstr>
      <vt:lpstr>graphe scolarite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Prudhomne</dc:creator>
  <cp:keywords/>
  <dc:description/>
  <cp:lastModifiedBy>Adja Sarr</cp:lastModifiedBy>
  <dcterms:created xsi:type="dcterms:W3CDTF">2015-01-31T21:37:15Z</dcterms:created>
  <dcterms:modified xsi:type="dcterms:W3CDTF">2026-03-17T10:54:51Z</dcterms:modified>
  <cp:category/>
</cp:coreProperties>
</file>